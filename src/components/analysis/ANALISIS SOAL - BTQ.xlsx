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OPERATOR AL FIKRI\ARCHIVE AL-FIKRI\BERKAS UJIAN\"/>
    </mc:Choice>
  </mc:AlternateContent>
  <xr:revisionPtr revIDLastSave="0" documentId="13_ncr:1_{AA2FC0C8-42CD-4C39-B420-55248EB58E0D}" xr6:coauthVersionLast="47" xr6:coauthVersionMax="47" xr10:uidLastSave="{00000000-0000-0000-0000-000000000000}"/>
  <bookViews>
    <workbookView xWindow="-108" yWindow="-108" windowWidth="23256" windowHeight="12456" activeTab="7" xr2:uid="{D71D5F5A-FC2F-4809-A1EC-A272F9642A63}"/>
  </bookViews>
  <sheets>
    <sheet name="1A" sheetId="7" r:id="rId1"/>
    <sheet name="1B" sheetId="8" r:id="rId2"/>
    <sheet name="1C" sheetId="9" r:id="rId3"/>
    <sheet name="2A" sheetId="10" r:id="rId4"/>
    <sheet name="2B" sheetId="11" r:id="rId5"/>
    <sheet name="2C" sheetId="14" r:id="rId6"/>
    <sheet name="3A" sheetId="12" r:id="rId7"/>
    <sheet name="3B" sheetId="13" r:id="rId8"/>
  </sheets>
  <definedNames>
    <definedName name="_xlnm._FilterDatabase" localSheetId="0" hidden="1">'1A'!$A$8:$AM$9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11" i="13" l="1"/>
  <c r="AK11" i="12"/>
  <c r="AI12" i="13"/>
  <c r="AI11" i="13"/>
  <c r="AI12" i="12"/>
  <c r="AI11" i="12"/>
  <c r="AI13" i="14"/>
  <c r="AI14" i="14"/>
  <c r="AI15" i="14"/>
  <c r="AI16" i="14"/>
  <c r="AJ16" i="14" s="1"/>
  <c r="AK16" i="14" s="1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12" i="14"/>
  <c r="AI11" i="14"/>
  <c r="AJ11" i="14" s="1"/>
  <c r="AK11" i="14" s="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12" i="11"/>
  <c r="AI11" i="11"/>
  <c r="AJ11" i="11" s="1"/>
  <c r="AK11" i="11" s="1"/>
  <c r="AI13" i="10"/>
  <c r="AI14" i="10"/>
  <c r="AI15" i="10"/>
  <c r="AI16" i="10"/>
  <c r="AI17" i="10"/>
  <c r="AI18" i="10"/>
  <c r="AJ18" i="10" s="1"/>
  <c r="AK18" i="10" s="1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J33" i="10" s="1"/>
  <c r="AK33" i="10" s="1"/>
  <c r="AI34" i="10"/>
  <c r="AI35" i="10"/>
  <c r="AI12" i="10"/>
  <c r="AI11" i="10"/>
  <c r="AJ11" i="10" s="1"/>
  <c r="AK11" i="10" s="1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12" i="9"/>
  <c r="AJ12" i="9"/>
  <c r="AI13" i="9"/>
  <c r="AI14" i="9"/>
  <c r="AI15" i="9"/>
  <c r="AI16" i="9"/>
  <c r="AI17" i="9"/>
  <c r="AI18" i="9"/>
  <c r="AI19" i="9"/>
  <c r="AI20" i="9"/>
  <c r="AJ20" i="9" s="1"/>
  <c r="AI21" i="9"/>
  <c r="AI22" i="9"/>
  <c r="AI23" i="9"/>
  <c r="AI24" i="9"/>
  <c r="AI25" i="9"/>
  <c r="AI26" i="9"/>
  <c r="AI27" i="9"/>
  <c r="AI28" i="9"/>
  <c r="AJ28" i="9" s="1"/>
  <c r="AI29" i="9"/>
  <c r="AI30" i="9"/>
  <c r="AI31" i="9"/>
  <c r="AI32" i="9"/>
  <c r="AI33" i="9"/>
  <c r="AI34" i="9"/>
  <c r="AI35" i="9"/>
  <c r="AI36" i="9"/>
  <c r="AI12" i="9"/>
  <c r="AI11" i="9"/>
  <c r="AJ11" i="9" s="1"/>
  <c r="AK11" i="9" s="1"/>
  <c r="AK12" i="8"/>
  <c r="AI13" i="8"/>
  <c r="AI14" i="8"/>
  <c r="AI15" i="8"/>
  <c r="AI16" i="8"/>
  <c r="AI17" i="8"/>
  <c r="AJ17" i="8" s="1"/>
  <c r="AK17" i="8" s="1"/>
  <c r="AI18" i="8"/>
  <c r="AI19" i="8"/>
  <c r="AJ19" i="8" s="1"/>
  <c r="AK19" i="8" s="1"/>
  <c r="AI20" i="8"/>
  <c r="AJ20" i="8" s="1"/>
  <c r="AK20" i="8" s="1"/>
  <c r="AI21" i="8"/>
  <c r="AI22" i="8"/>
  <c r="AI23" i="8"/>
  <c r="AI24" i="8"/>
  <c r="AI25" i="8"/>
  <c r="AI26" i="8"/>
  <c r="AI27" i="8"/>
  <c r="AJ27" i="8" s="1"/>
  <c r="AK27" i="8" s="1"/>
  <c r="AI28" i="8"/>
  <c r="AJ28" i="8" s="1"/>
  <c r="AK28" i="8" s="1"/>
  <c r="AI29" i="8"/>
  <c r="AI30" i="8"/>
  <c r="AI31" i="8"/>
  <c r="AI32" i="8"/>
  <c r="AI33" i="8"/>
  <c r="AJ33" i="8" s="1"/>
  <c r="AK33" i="8" s="1"/>
  <c r="AI34" i="8"/>
  <c r="AI35" i="8"/>
  <c r="AJ35" i="8" s="1"/>
  <c r="AK35" i="8" s="1"/>
  <c r="AI36" i="8"/>
  <c r="AJ36" i="8" s="1"/>
  <c r="AK36" i="8" s="1"/>
  <c r="AI12" i="8"/>
  <c r="AJ12" i="8" s="1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12" i="7"/>
  <c r="AK15" i="8"/>
  <c r="AK18" i="8"/>
  <c r="AK23" i="8"/>
  <c r="AK31" i="8"/>
  <c r="AK34" i="8"/>
  <c r="AK11" i="8"/>
  <c r="AJ11" i="8"/>
  <c r="AI11" i="8"/>
  <c r="AJ11" i="7"/>
  <c r="AK11" i="7" s="1"/>
  <c r="AI11" i="7"/>
  <c r="AH43" i="13"/>
  <c r="AH44" i="13" s="1"/>
  <c r="AG43" i="13"/>
  <c r="AG44" i="13" s="1"/>
  <c r="AF43" i="13"/>
  <c r="AF44" i="13" s="1"/>
  <c r="AE43" i="13"/>
  <c r="AE44" i="13" s="1"/>
  <c r="AD43" i="13"/>
  <c r="AD44" i="13" s="1"/>
  <c r="AB43" i="13"/>
  <c r="AB44" i="13" s="1"/>
  <c r="AA43" i="13"/>
  <c r="AA44" i="13" s="1"/>
  <c r="Z43" i="13"/>
  <c r="Z44" i="13" s="1"/>
  <c r="Y43" i="13"/>
  <c r="Y44" i="13" s="1"/>
  <c r="X43" i="13"/>
  <c r="X44" i="13" s="1"/>
  <c r="V43" i="13"/>
  <c r="V44" i="13" s="1"/>
  <c r="U43" i="13"/>
  <c r="U44" i="13" s="1"/>
  <c r="T43" i="13"/>
  <c r="T44" i="13" s="1"/>
  <c r="S43" i="13"/>
  <c r="S44" i="13" s="1"/>
  <c r="R43" i="13"/>
  <c r="R44" i="13" s="1"/>
  <c r="Q43" i="13"/>
  <c r="Q44" i="13" s="1"/>
  <c r="P43" i="13"/>
  <c r="P44" i="13" s="1"/>
  <c r="O43" i="13"/>
  <c r="O44" i="13" s="1"/>
  <c r="N43" i="13"/>
  <c r="N44" i="13" s="1"/>
  <c r="M43" i="13"/>
  <c r="M44" i="13" s="1"/>
  <c r="L43" i="13"/>
  <c r="L44" i="13" s="1"/>
  <c r="K43" i="13"/>
  <c r="K44" i="13" s="1"/>
  <c r="J43" i="13"/>
  <c r="J44" i="13" s="1"/>
  <c r="I43" i="13"/>
  <c r="I44" i="13" s="1"/>
  <c r="H43" i="13"/>
  <c r="H44" i="13" s="1"/>
  <c r="G43" i="13"/>
  <c r="G44" i="13" s="1"/>
  <c r="F43" i="13"/>
  <c r="F44" i="13" s="1"/>
  <c r="E43" i="13"/>
  <c r="E44" i="13" s="1"/>
  <c r="D43" i="13"/>
  <c r="D44" i="13" s="1"/>
  <c r="C43" i="13"/>
  <c r="C44" i="13" s="1"/>
  <c r="AI42" i="13"/>
  <c r="AC42" i="13"/>
  <c r="W42" i="13"/>
  <c r="AI41" i="13"/>
  <c r="AC41" i="13"/>
  <c r="W41" i="13"/>
  <c r="AI40" i="13"/>
  <c r="AC40" i="13"/>
  <c r="W40" i="13"/>
  <c r="AI39" i="13"/>
  <c r="AC39" i="13"/>
  <c r="W39" i="13"/>
  <c r="AI38" i="13"/>
  <c r="AC38" i="13"/>
  <c r="W38" i="13"/>
  <c r="AJ38" i="13" s="1"/>
  <c r="AK38" i="13" s="1"/>
  <c r="AI37" i="13"/>
  <c r="AC37" i="13"/>
  <c r="W37" i="13"/>
  <c r="AI36" i="13"/>
  <c r="AC36" i="13"/>
  <c r="W36" i="13"/>
  <c r="AI35" i="13"/>
  <c r="AC35" i="13"/>
  <c r="W35" i="13"/>
  <c r="AI34" i="13"/>
  <c r="AC34" i="13"/>
  <c r="W34" i="13"/>
  <c r="AJ34" i="13" s="1"/>
  <c r="AK34" i="13" s="1"/>
  <c r="AI33" i="13"/>
  <c r="AC33" i="13"/>
  <c r="W33" i="13"/>
  <c r="AJ33" i="13" s="1"/>
  <c r="AK33" i="13" s="1"/>
  <c r="AJ32" i="13"/>
  <c r="AK32" i="13" s="1"/>
  <c r="AI32" i="13"/>
  <c r="AC32" i="13"/>
  <c r="W32" i="13"/>
  <c r="AI31" i="13"/>
  <c r="AC31" i="13"/>
  <c r="W31" i="13"/>
  <c r="AI30" i="13"/>
  <c r="AC30" i="13"/>
  <c r="W30" i="13"/>
  <c r="AI29" i="13"/>
  <c r="AC29" i="13"/>
  <c r="W29" i="13"/>
  <c r="AJ29" i="13" s="1"/>
  <c r="AK29" i="13" s="1"/>
  <c r="AI28" i="13"/>
  <c r="AC28" i="13"/>
  <c r="W28" i="13"/>
  <c r="AI27" i="13"/>
  <c r="AC27" i="13"/>
  <c r="W27" i="13"/>
  <c r="AI26" i="13"/>
  <c r="AC26" i="13"/>
  <c r="W26" i="13"/>
  <c r="AI25" i="13"/>
  <c r="AC25" i="13"/>
  <c r="W25" i="13"/>
  <c r="AI24" i="13"/>
  <c r="AC24" i="13"/>
  <c r="W24" i="13"/>
  <c r="AI23" i="13"/>
  <c r="AC23" i="13"/>
  <c r="W23" i="13"/>
  <c r="AI22" i="13"/>
  <c r="AC22" i="13"/>
  <c r="W22" i="13"/>
  <c r="AI21" i="13"/>
  <c r="AC21" i="13"/>
  <c r="W21" i="13"/>
  <c r="AJ21" i="13" s="1"/>
  <c r="AK21" i="13" s="1"/>
  <c r="AI20" i="13"/>
  <c r="AC20" i="13"/>
  <c r="W20" i="13"/>
  <c r="AI19" i="13"/>
  <c r="AC19" i="13"/>
  <c r="W19" i="13"/>
  <c r="AI18" i="13"/>
  <c r="AC18" i="13"/>
  <c r="W18" i="13"/>
  <c r="AI17" i="13"/>
  <c r="AC17" i="13"/>
  <c r="W17" i="13"/>
  <c r="AJ17" i="13" s="1"/>
  <c r="AK17" i="13" s="1"/>
  <c r="AI16" i="13"/>
  <c r="AC16" i="13"/>
  <c r="W16" i="13"/>
  <c r="AI15" i="13"/>
  <c r="AC15" i="13"/>
  <c r="W15" i="13"/>
  <c r="AI14" i="13"/>
  <c r="AC14" i="13"/>
  <c r="W14" i="13"/>
  <c r="AI13" i="13"/>
  <c r="AC13" i="13"/>
  <c r="W13" i="13"/>
  <c r="AC12" i="13"/>
  <c r="W12" i="13"/>
  <c r="AC11" i="13"/>
  <c r="W11" i="13"/>
  <c r="AJ11" i="13" s="1"/>
  <c r="V43" i="12"/>
  <c r="V44" i="12" s="1"/>
  <c r="AC13" i="12"/>
  <c r="W13" i="12"/>
  <c r="W12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11" i="12"/>
  <c r="AJ11" i="12" s="1"/>
  <c r="AD43" i="12"/>
  <c r="AD44" i="12" s="1"/>
  <c r="Y43" i="12"/>
  <c r="Y44" i="12" s="1"/>
  <c r="X43" i="12"/>
  <c r="X44" i="12" s="1"/>
  <c r="AI35" i="12"/>
  <c r="AI36" i="12"/>
  <c r="AI37" i="12"/>
  <c r="AI38" i="12"/>
  <c r="AI39" i="12"/>
  <c r="AI40" i="12"/>
  <c r="AI41" i="12"/>
  <c r="AC35" i="12"/>
  <c r="AC36" i="12"/>
  <c r="AC37" i="12"/>
  <c r="AC38" i="12"/>
  <c r="AC39" i="12"/>
  <c r="AC40" i="12"/>
  <c r="AC41" i="12"/>
  <c r="AH43" i="12"/>
  <c r="AH44" i="12" s="1"/>
  <c r="AG43" i="12"/>
  <c r="AG44" i="12" s="1"/>
  <c r="AF43" i="12"/>
  <c r="AF44" i="12" s="1"/>
  <c r="AE43" i="12"/>
  <c r="AE44" i="12" s="1"/>
  <c r="AB43" i="12"/>
  <c r="AB44" i="12" s="1"/>
  <c r="AA43" i="12"/>
  <c r="AA44" i="12" s="1"/>
  <c r="Z43" i="12"/>
  <c r="Z44" i="12" s="1"/>
  <c r="U43" i="12"/>
  <c r="U44" i="12" s="1"/>
  <c r="T43" i="12"/>
  <c r="T44" i="12" s="1"/>
  <c r="S43" i="12"/>
  <c r="S44" i="12" s="1"/>
  <c r="R43" i="12"/>
  <c r="R44" i="12" s="1"/>
  <c r="Q43" i="12"/>
  <c r="Q44" i="12" s="1"/>
  <c r="P43" i="12"/>
  <c r="P44" i="12" s="1"/>
  <c r="O43" i="12"/>
  <c r="O44" i="12" s="1"/>
  <c r="N43" i="12"/>
  <c r="N44" i="12" s="1"/>
  <c r="M43" i="12"/>
  <c r="M44" i="12" s="1"/>
  <c r="L43" i="12"/>
  <c r="L44" i="12" s="1"/>
  <c r="K43" i="12"/>
  <c r="K44" i="12" s="1"/>
  <c r="J43" i="12"/>
  <c r="J44" i="12" s="1"/>
  <c r="I43" i="12"/>
  <c r="I44" i="12" s="1"/>
  <c r="H43" i="12"/>
  <c r="H44" i="12" s="1"/>
  <c r="G43" i="12"/>
  <c r="G44" i="12" s="1"/>
  <c r="F43" i="12"/>
  <c r="F44" i="12" s="1"/>
  <c r="E43" i="12"/>
  <c r="E44" i="12" s="1"/>
  <c r="D43" i="12"/>
  <c r="D44" i="12" s="1"/>
  <c r="C43" i="12"/>
  <c r="C44" i="12" s="1"/>
  <c r="AI42" i="12"/>
  <c r="AC42" i="12"/>
  <c r="AI34" i="12"/>
  <c r="AC34" i="12"/>
  <c r="AI33" i="12"/>
  <c r="AC33" i="12"/>
  <c r="AI32" i="12"/>
  <c r="AC32" i="12"/>
  <c r="AI31" i="12"/>
  <c r="AC31" i="12"/>
  <c r="AI30" i="12"/>
  <c r="AC30" i="12"/>
  <c r="AI29" i="12"/>
  <c r="AC29" i="12"/>
  <c r="AI28" i="12"/>
  <c r="AC28" i="12"/>
  <c r="AI27" i="12"/>
  <c r="AC27" i="12"/>
  <c r="AI26" i="12"/>
  <c r="AC26" i="12"/>
  <c r="AI25" i="12"/>
  <c r="AC25" i="12"/>
  <c r="AI24" i="12"/>
  <c r="AC24" i="12"/>
  <c r="AI23" i="12"/>
  <c r="AC23" i="12"/>
  <c r="AI22" i="12"/>
  <c r="AC22" i="12"/>
  <c r="AI21" i="12"/>
  <c r="AC21" i="12"/>
  <c r="AI20" i="12"/>
  <c r="AC20" i="12"/>
  <c r="AI19" i="12"/>
  <c r="AC19" i="12"/>
  <c r="AI18" i="12"/>
  <c r="AC18" i="12"/>
  <c r="AI17" i="12"/>
  <c r="AC17" i="12"/>
  <c r="AI16" i="12"/>
  <c r="AC16" i="12"/>
  <c r="AI15" i="12"/>
  <c r="AC15" i="12"/>
  <c r="AI14" i="12"/>
  <c r="AC14" i="12"/>
  <c r="AI13" i="12"/>
  <c r="AC12" i="12"/>
  <c r="AC11" i="12"/>
  <c r="AG37" i="14"/>
  <c r="D37" i="14"/>
  <c r="AH36" i="14"/>
  <c r="AH37" i="14" s="1"/>
  <c r="AG36" i="14"/>
  <c r="AF36" i="14"/>
  <c r="AF37" i="14" s="1"/>
  <c r="AE36" i="14"/>
  <c r="AE37" i="14" s="1"/>
  <c r="AD36" i="14"/>
  <c r="AD37" i="14" s="1"/>
  <c r="AB36" i="14"/>
  <c r="AB37" i="14" s="1"/>
  <c r="AA36" i="14"/>
  <c r="AA37" i="14" s="1"/>
  <c r="Z36" i="14"/>
  <c r="Z37" i="14" s="1"/>
  <c r="Y36" i="14"/>
  <c r="Y37" i="14" s="1"/>
  <c r="X36" i="14"/>
  <c r="X37" i="14" s="1"/>
  <c r="V36" i="14"/>
  <c r="V37" i="14" s="1"/>
  <c r="U36" i="14"/>
  <c r="U37" i="14" s="1"/>
  <c r="T36" i="14"/>
  <c r="T37" i="14" s="1"/>
  <c r="S36" i="14"/>
  <c r="S37" i="14" s="1"/>
  <c r="R36" i="14"/>
  <c r="R37" i="14" s="1"/>
  <c r="Q36" i="14"/>
  <c r="Q37" i="14" s="1"/>
  <c r="P36" i="14"/>
  <c r="P37" i="14" s="1"/>
  <c r="O36" i="14"/>
  <c r="O37" i="14" s="1"/>
  <c r="N36" i="14"/>
  <c r="N37" i="14" s="1"/>
  <c r="M36" i="14"/>
  <c r="M37" i="14" s="1"/>
  <c r="L36" i="14"/>
  <c r="L37" i="14" s="1"/>
  <c r="K36" i="14"/>
  <c r="K37" i="14" s="1"/>
  <c r="J36" i="14"/>
  <c r="J37" i="14" s="1"/>
  <c r="I36" i="14"/>
  <c r="I37" i="14" s="1"/>
  <c r="H36" i="14"/>
  <c r="H37" i="14" s="1"/>
  <c r="G36" i="14"/>
  <c r="G37" i="14" s="1"/>
  <c r="F36" i="14"/>
  <c r="F37" i="14" s="1"/>
  <c r="E36" i="14"/>
  <c r="E37" i="14" s="1"/>
  <c r="D36" i="14"/>
  <c r="C36" i="14"/>
  <c r="C37" i="14" s="1"/>
  <c r="AC35" i="14"/>
  <c r="W35" i="14"/>
  <c r="AC34" i="14"/>
  <c r="W34" i="14"/>
  <c r="AJ34" i="14" s="1"/>
  <c r="AK34" i="14" s="1"/>
  <c r="AC33" i="14"/>
  <c r="W33" i="14"/>
  <c r="AC32" i="14"/>
  <c r="W32" i="14"/>
  <c r="AC31" i="14"/>
  <c r="W31" i="14"/>
  <c r="AC30" i="14"/>
  <c r="W30" i="14"/>
  <c r="AC29" i="14"/>
  <c r="W29" i="14"/>
  <c r="AC28" i="14"/>
  <c r="W28" i="14"/>
  <c r="AC27" i="14"/>
  <c r="AJ27" i="14" s="1"/>
  <c r="AK27" i="14" s="1"/>
  <c r="W27" i="14"/>
  <c r="AJ26" i="14"/>
  <c r="AK26" i="14" s="1"/>
  <c r="AC26" i="14"/>
  <c r="W26" i="14"/>
  <c r="AC25" i="14"/>
  <c r="W25" i="14"/>
  <c r="AC24" i="14"/>
  <c r="W24" i="14"/>
  <c r="AC23" i="14"/>
  <c r="W23" i="14"/>
  <c r="AC22" i="14"/>
  <c r="W22" i="14"/>
  <c r="AJ22" i="14" s="1"/>
  <c r="AK22" i="14" s="1"/>
  <c r="AC21" i="14"/>
  <c r="W21" i="14"/>
  <c r="AC20" i="14"/>
  <c r="W20" i="14"/>
  <c r="AC19" i="14"/>
  <c r="AJ19" i="14" s="1"/>
  <c r="AK19" i="14" s="1"/>
  <c r="W19" i="14"/>
  <c r="AC18" i="14"/>
  <c r="AJ18" i="14" s="1"/>
  <c r="AK18" i="14" s="1"/>
  <c r="W18" i="14"/>
  <c r="AC17" i="14"/>
  <c r="W17" i="14"/>
  <c r="AJ17" i="14" s="1"/>
  <c r="AK17" i="14" s="1"/>
  <c r="AC16" i="14"/>
  <c r="W16" i="14"/>
  <c r="AC15" i="14"/>
  <c r="W15" i="14"/>
  <c r="AC14" i="14"/>
  <c r="W14" i="14"/>
  <c r="AJ14" i="14" s="1"/>
  <c r="AK14" i="14" s="1"/>
  <c r="AC13" i="14"/>
  <c r="W13" i="14"/>
  <c r="AC12" i="14"/>
  <c r="AJ12" i="14" s="1"/>
  <c r="AK12" i="14" s="1"/>
  <c r="W12" i="14"/>
  <c r="AC11" i="14"/>
  <c r="W11" i="14"/>
  <c r="Y38" i="11"/>
  <c r="T38" i="11"/>
  <c r="L38" i="11"/>
  <c r="AH37" i="11"/>
  <c r="AH38" i="11" s="1"/>
  <c r="AG37" i="11"/>
  <c r="AG38" i="11" s="1"/>
  <c r="AF37" i="11"/>
  <c r="AF38" i="11" s="1"/>
  <c r="AE37" i="11"/>
  <c r="AE38" i="11" s="1"/>
  <c r="AD37" i="11"/>
  <c r="AD38" i="11" s="1"/>
  <c r="AB37" i="11"/>
  <c r="AB38" i="11" s="1"/>
  <c r="AA37" i="11"/>
  <c r="AA38" i="11" s="1"/>
  <c r="Z37" i="11"/>
  <c r="Z38" i="11" s="1"/>
  <c r="Y37" i="11"/>
  <c r="X37" i="11"/>
  <c r="X38" i="11" s="1"/>
  <c r="V37" i="11"/>
  <c r="V38" i="11" s="1"/>
  <c r="U37" i="11"/>
  <c r="U38" i="11" s="1"/>
  <c r="T37" i="11"/>
  <c r="S37" i="11"/>
  <c r="S38" i="11" s="1"/>
  <c r="R37" i="11"/>
  <c r="R38" i="11" s="1"/>
  <c r="Q37" i="11"/>
  <c r="Q38" i="11" s="1"/>
  <c r="P37" i="11"/>
  <c r="P38" i="11" s="1"/>
  <c r="O37" i="11"/>
  <c r="O38" i="11" s="1"/>
  <c r="N37" i="11"/>
  <c r="N38" i="11" s="1"/>
  <c r="M37" i="11"/>
  <c r="M38" i="11" s="1"/>
  <c r="L37" i="11"/>
  <c r="K37" i="11"/>
  <c r="K38" i="11" s="1"/>
  <c r="J37" i="11"/>
  <c r="J38" i="11" s="1"/>
  <c r="I37" i="11"/>
  <c r="I38" i="11" s="1"/>
  <c r="H37" i="11"/>
  <c r="H38" i="11" s="1"/>
  <c r="G37" i="11"/>
  <c r="G38" i="11" s="1"/>
  <c r="F37" i="11"/>
  <c r="F38" i="11" s="1"/>
  <c r="E37" i="11"/>
  <c r="E38" i="11" s="1"/>
  <c r="D37" i="11"/>
  <c r="D38" i="11" s="1"/>
  <c r="C37" i="11"/>
  <c r="C38" i="11" s="1"/>
  <c r="AC36" i="11"/>
  <c r="W36" i="11"/>
  <c r="AC35" i="11"/>
  <c r="W35" i="11"/>
  <c r="AC34" i="11"/>
  <c r="AJ34" i="11" s="1"/>
  <c r="AK34" i="11" s="1"/>
  <c r="W34" i="11"/>
  <c r="AJ33" i="11"/>
  <c r="AK33" i="11" s="1"/>
  <c r="AC33" i="11"/>
  <c r="W33" i="11"/>
  <c r="AC32" i="11"/>
  <c r="W32" i="11"/>
  <c r="AJ32" i="11" s="1"/>
  <c r="AK32" i="11" s="1"/>
  <c r="AC31" i="11"/>
  <c r="AJ31" i="11" s="1"/>
  <c r="AK31" i="11" s="1"/>
  <c r="W31" i="11"/>
  <c r="AC30" i="11"/>
  <c r="W30" i="11"/>
  <c r="AJ30" i="11" s="1"/>
  <c r="AK30" i="11" s="1"/>
  <c r="AC29" i="11"/>
  <c r="AJ29" i="11" s="1"/>
  <c r="AK29" i="11" s="1"/>
  <c r="W29" i="11"/>
  <c r="AC28" i="11"/>
  <c r="W28" i="11"/>
  <c r="AC27" i="11"/>
  <c r="W27" i="11"/>
  <c r="AC26" i="11"/>
  <c r="AJ26" i="11" s="1"/>
  <c r="AK26" i="11" s="1"/>
  <c r="W26" i="11"/>
  <c r="AC25" i="11"/>
  <c r="W25" i="11"/>
  <c r="AJ25" i="11" s="1"/>
  <c r="AK25" i="11" s="1"/>
  <c r="AC24" i="11"/>
  <c r="W24" i="11"/>
  <c r="AJ24" i="11" s="1"/>
  <c r="AK24" i="11" s="1"/>
  <c r="AC23" i="11"/>
  <c r="W23" i="11"/>
  <c r="AC22" i="11"/>
  <c r="W22" i="11"/>
  <c r="AC21" i="11"/>
  <c r="AJ21" i="11" s="1"/>
  <c r="AK21" i="11" s="1"/>
  <c r="W21" i="11"/>
  <c r="AC20" i="11"/>
  <c r="W20" i="11"/>
  <c r="AC19" i="11"/>
  <c r="W19" i="11"/>
  <c r="AC18" i="11"/>
  <c r="W18" i="11"/>
  <c r="AJ18" i="11" s="1"/>
  <c r="AK18" i="11" s="1"/>
  <c r="AC17" i="11"/>
  <c r="W17" i="11"/>
  <c r="AC16" i="11"/>
  <c r="W16" i="11"/>
  <c r="AJ16" i="11" s="1"/>
  <c r="AK16" i="11" s="1"/>
  <c r="AC15" i="11"/>
  <c r="W15" i="11"/>
  <c r="AC14" i="11"/>
  <c r="W14" i="11"/>
  <c r="AJ14" i="11" s="1"/>
  <c r="AK14" i="11" s="1"/>
  <c r="AC13" i="11"/>
  <c r="W13" i="11"/>
  <c r="AC12" i="11"/>
  <c r="W12" i="11"/>
  <c r="AC11" i="11"/>
  <c r="W11" i="11"/>
  <c r="AC35" i="10"/>
  <c r="C37" i="10"/>
  <c r="AH36" i="10"/>
  <c r="AH37" i="10" s="1"/>
  <c r="AG36" i="10"/>
  <c r="AG37" i="10" s="1"/>
  <c r="AF36" i="10"/>
  <c r="AF37" i="10" s="1"/>
  <c r="AE36" i="10"/>
  <c r="AE37" i="10" s="1"/>
  <c r="AD36" i="10"/>
  <c r="AD37" i="10" s="1"/>
  <c r="AB36" i="10"/>
  <c r="AB37" i="10" s="1"/>
  <c r="AA36" i="10"/>
  <c r="AA37" i="10" s="1"/>
  <c r="Z36" i="10"/>
  <c r="Z37" i="10" s="1"/>
  <c r="Y36" i="10"/>
  <c r="Y37" i="10" s="1"/>
  <c r="X36" i="10"/>
  <c r="X37" i="10" s="1"/>
  <c r="V36" i="10"/>
  <c r="V37" i="10" s="1"/>
  <c r="U36" i="10"/>
  <c r="U37" i="10" s="1"/>
  <c r="T36" i="10"/>
  <c r="T37" i="10" s="1"/>
  <c r="S36" i="10"/>
  <c r="S37" i="10" s="1"/>
  <c r="R36" i="10"/>
  <c r="R37" i="10" s="1"/>
  <c r="Q36" i="10"/>
  <c r="Q37" i="10" s="1"/>
  <c r="P36" i="10"/>
  <c r="P37" i="10" s="1"/>
  <c r="O36" i="10"/>
  <c r="O37" i="10" s="1"/>
  <c r="N36" i="10"/>
  <c r="N37" i="10" s="1"/>
  <c r="M36" i="10"/>
  <c r="M37" i="10" s="1"/>
  <c r="L36" i="10"/>
  <c r="L37" i="10" s="1"/>
  <c r="K36" i="10"/>
  <c r="K37" i="10" s="1"/>
  <c r="J36" i="10"/>
  <c r="J37" i="10" s="1"/>
  <c r="I36" i="10"/>
  <c r="I37" i="10" s="1"/>
  <c r="H36" i="10"/>
  <c r="H37" i="10" s="1"/>
  <c r="G36" i="10"/>
  <c r="G37" i="10" s="1"/>
  <c r="F36" i="10"/>
  <c r="F37" i="10" s="1"/>
  <c r="E36" i="10"/>
  <c r="E37" i="10" s="1"/>
  <c r="D36" i="10"/>
  <c r="D37" i="10" s="1"/>
  <c r="C36" i="10"/>
  <c r="W35" i="10"/>
  <c r="AC34" i="10"/>
  <c r="W34" i="10"/>
  <c r="AC33" i="10"/>
  <c r="W33" i="10"/>
  <c r="AC32" i="10"/>
  <c r="W32" i="10"/>
  <c r="AC31" i="10"/>
  <c r="W31" i="10"/>
  <c r="AC30" i="10"/>
  <c r="W30" i="10"/>
  <c r="AC29" i="10"/>
  <c r="W29" i="10"/>
  <c r="AJ29" i="10" s="1"/>
  <c r="AK29" i="10" s="1"/>
  <c r="AC28" i="10"/>
  <c r="W28" i="10"/>
  <c r="AC27" i="10"/>
  <c r="W27" i="10"/>
  <c r="AC26" i="10"/>
  <c r="W26" i="10"/>
  <c r="AC25" i="10"/>
  <c r="W25" i="10"/>
  <c r="AC24" i="10"/>
  <c r="W24" i="10"/>
  <c r="AC23" i="10"/>
  <c r="W23" i="10"/>
  <c r="AC22" i="10"/>
  <c r="W22" i="10"/>
  <c r="AC21" i="10"/>
  <c r="W21" i="10"/>
  <c r="AC20" i="10"/>
  <c r="W20" i="10"/>
  <c r="AC19" i="10"/>
  <c r="W19" i="10"/>
  <c r="AC18" i="10"/>
  <c r="W18" i="10"/>
  <c r="AC17" i="10"/>
  <c r="W17" i="10"/>
  <c r="AC16" i="10"/>
  <c r="W16" i="10"/>
  <c r="AC15" i="10"/>
  <c r="W15" i="10"/>
  <c r="AC14" i="10"/>
  <c r="W14" i="10"/>
  <c r="AJ14" i="10" s="1"/>
  <c r="AK14" i="10" s="1"/>
  <c r="AC13" i="10"/>
  <c r="W13" i="10"/>
  <c r="AJ13" i="10" s="1"/>
  <c r="AK13" i="10" s="1"/>
  <c r="AC12" i="10"/>
  <c r="W12" i="10"/>
  <c r="AJ12" i="10" s="1"/>
  <c r="AK12" i="10" s="1"/>
  <c r="AC11" i="10"/>
  <c r="W11" i="10"/>
  <c r="AA38" i="9"/>
  <c r="X38" i="9"/>
  <c r="V38" i="9"/>
  <c r="U38" i="9"/>
  <c r="R38" i="9"/>
  <c r="O38" i="9"/>
  <c r="N38" i="9"/>
  <c r="M38" i="9"/>
  <c r="J38" i="9"/>
  <c r="G38" i="9"/>
  <c r="F38" i="9"/>
  <c r="E38" i="9"/>
  <c r="AH37" i="9"/>
  <c r="AH38" i="9" s="1"/>
  <c r="AG37" i="9"/>
  <c r="AG38" i="9" s="1"/>
  <c r="AF37" i="9"/>
  <c r="AF38" i="9" s="1"/>
  <c r="AE37" i="9"/>
  <c r="AE38" i="9" s="1"/>
  <c r="AD37" i="9"/>
  <c r="AD38" i="9" s="1"/>
  <c r="AB37" i="9"/>
  <c r="AB38" i="9" s="1"/>
  <c r="AA37" i="9"/>
  <c r="Z37" i="9"/>
  <c r="Z38" i="9" s="1"/>
  <c r="Y37" i="9"/>
  <c r="Y38" i="9" s="1"/>
  <c r="X37" i="9"/>
  <c r="V37" i="9"/>
  <c r="U37" i="9"/>
  <c r="T37" i="9"/>
  <c r="T38" i="9" s="1"/>
  <c r="S37" i="9"/>
  <c r="S38" i="9" s="1"/>
  <c r="R37" i="9"/>
  <c r="Q37" i="9"/>
  <c r="Q38" i="9" s="1"/>
  <c r="P37" i="9"/>
  <c r="P38" i="9" s="1"/>
  <c r="O37" i="9"/>
  <c r="N37" i="9"/>
  <c r="M37" i="9"/>
  <c r="L37" i="9"/>
  <c r="L38" i="9" s="1"/>
  <c r="K37" i="9"/>
  <c r="K38" i="9" s="1"/>
  <c r="J37" i="9"/>
  <c r="I37" i="9"/>
  <c r="I38" i="9" s="1"/>
  <c r="H37" i="9"/>
  <c r="H38" i="9" s="1"/>
  <c r="G37" i="9"/>
  <c r="F37" i="9"/>
  <c r="E37" i="9"/>
  <c r="D37" i="9"/>
  <c r="D38" i="9" s="1"/>
  <c r="C37" i="9"/>
  <c r="C38" i="9" s="1"/>
  <c r="AC36" i="9"/>
  <c r="W36" i="9"/>
  <c r="AJ35" i="9"/>
  <c r="AM35" i="9" s="1"/>
  <c r="AC35" i="9"/>
  <c r="W35" i="9"/>
  <c r="AC34" i="9"/>
  <c r="W34" i="9"/>
  <c r="AJ34" i="9" s="1"/>
  <c r="AC33" i="9"/>
  <c r="W33" i="9"/>
  <c r="AJ33" i="9" s="1"/>
  <c r="AC32" i="9"/>
  <c r="W32" i="9"/>
  <c r="AJ32" i="9" s="1"/>
  <c r="AC31" i="9"/>
  <c r="W31" i="9"/>
  <c r="AJ31" i="9" s="1"/>
  <c r="AC30" i="9"/>
  <c r="W30" i="9"/>
  <c r="AJ30" i="9" s="1"/>
  <c r="AC29" i="9"/>
  <c r="W29" i="9"/>
  <c r="AJ29" i="9" s="1"/>
  <c r="AC28" i="9"/>
  <c r="W28" i="9"/>
  <c r="AJ27" i="9"/>
  <c r="AC27" i="9"/>
  <c r="W27" i="9"/>
  <c r="AC26" i="9"/>
  <c r="W26" i="9"/>
  <c r="AJ26" i="9" s="1"/>
  <c r="AC25" i="9"/>
  <c r="W25" i="9"/>
  <c r="AJ25" i="9" s="1"/>
  <c r="AC24" i="9"/>
  <c r="W24" i="9"/>
  <c r="AJ24" i="9" s="1"/>
  <c r="AC23" i="9"/>
  <c r="W23" i="9"/>
  <c r="AJ23" i="9" s="1"/>
  <c r="AC22" i="9"/>
  <c r="W22" i="9"/>
  <c r="AJ22" i="9" s="1"/>
  <c r="AC21" i="9"/>
  <c r="W21" i="9"/>
  <c r="AJ21" i="9" s="1"/>
  <c r="AC20" i="9"/>
  <c r="W20" i="9"/>
  <c r="AJ19" i="9"/>
  <c r="AC19" i="9"/>
  <c r="W19" i="9"/>
  <c r="AC18" i="9"/>
  <c r="W18" i="9"/>
  <c r="AJ18" i="9" s="1"/>
  <c r="AC17" i="9"/>
  <c r="W17" i="9"/>
  <c r="AJ17" i="9" s="1"/>
  <c r="AC16" i="9"/>
  <c r="W16" i="9"/>
  <c r="AJ16" i="9" s="1"/>
  <c r="AC15" i="9"/>
  <c r="W15" i="9"/>
  <c r="AJ15" i="9" s="1"/>
  <c r="AC14" i="9"/>
  <c r="W14" i="9"/>
  <c r="AJ14" i="9" s="1"/>
  <c r="AC13" i="9"/>
  <c r="W13" i="9"/>
  <c r="AJ13" i="9" s="1"/>
  <c r="AC12" i="9"/>
  <c r="W12" i="9"/>
  <c r="AC11" i="9"/>
  <c r="W11" i="9"/>
  <c r="AC12" i="7"/>
  <c r="W12" i="7"/>
  <c r="AC11" i="7"/>
  <c r="W11" i="7"/>
  <c r="AJ13" i="8"/>
  <c r="AK13" i="8" s="1"/>
  <c r="AJ14" i="8"/>
  <c r="AK14" i="8" s="1"/>
  <c r="AJ16" i="8"/>
  <c r="AK16" i="8" s="1"/>
  <c r="AJ21" i="8"/>
  <c r="AK21" i="8" s="1"/>
  <c r="AJ22" i="8"/>
  <c r="AK22" i="8" s="1"/>
  <c r="AJ24" i="8"/>
  <c r="AK24" i="8" s="1"/>
  <c r="AJ29" i="8"/>
  <c r="AK29" i="8" s="1"/>
  <c r="AJ30" i="8"/>
  <c r="AK30" i="8" s="1"/>
  <c r="AJ32" i="8"/>
  <c r="AK32" i="8" s="1"/>
  <c r="AJ15" i="8"/>
  <c r="AJ18" i="8"/>
  <c r="AJ23" i="8"/>
  <c r="AJ25" i="8"/>
  <c r="AK25" i="8" s="1"/>
  <c r="AJ26" i="8"/>
  <c r="AK26" i="8" s="1"/>
  <c r="AJ31" i="8"/>
  <c r="AJ34" i="8"/>
  <c r="AG38" i="8"/>
  <c r="V38" i="8"/>
  <c r="N38" i="8"/>
  <c r="J38" i="8"/>
  <c r="AH37" i="8"/>
  <c r="AH38" i="8" s="1"/>
  <c r="AG37" i="8"/>
  <c r="AF37" i="8"/>
  <c r="AF38" i="8" s="1"/>
  <c r="AE37" i="8"/>
  <c r="AE38" i="8" s="1"/>
  <c r="AD37" i="8"/>
  <c r="AD38" i="8" s="1"/>
  <c r="AB37" i="8"/>
  <c r="AB38" i="8" s="1"/>
  <c r="AA37" i="8"/>
  <c r="AA38" i="8" s="1"/>
  <c r="Z37" i="8"/>
  <c r="Z38" i="8" s="1"/>
  <c r="Y37" i="8"/>
  <c r="Y38" i="8" s="1"/>
  <c r="X37" i="8"/>
  <c r="X38" i="8" s="1"/>
  <c r="V37" i="8"/>
  <c r="U37" i="8"/>
  <c r="U38" i="8" s="1"/>
  <c r="T37" i="8"/>
  <c r="T38" i="8" s="1"/>
  <c r="S37" i="8"/>
  <c r="S38" i="8" s="1"/>
  <c r="R37" i="8"/>
  <c r="R38" i="8" s="1"/>
  <c r="Q37" i="8"/>
  <c r="Q38" i="8" s="1"/>
  <c r="P37" i="8"/>
  <c r="P38" i="8" s="1"/>
  <c r="O37" i="8"/>
  <c r="O38" i="8" s="1"/>
  <c r="N37" i="8"/>
  <c r="M37" i="8"/>
  <c r="M38" i="8" s="1"/>
  <c r="L37" i="8"/>
  <c r="L38" i="8" s="1"/>
  <c r="K37" i="8"/>
  <c r="K38" i="8" s="1"/>
  <c r="J37" i="8"/>
  <c r="I37" i="8"/>
  <c r="I38" i="8" s="1"/>
  <c r="H37" i="8"/>
  <c r="H38" i="8" s="1"/>
  <c r="G37" i="8"/>
  <c r="G38" i="8" s="1"/>
  <c r="F37" i="8"/>
  <c r="F38" i="8" s="1"/>
  <c r="E37" i="8"/>
  <c r="E38" i="8" s="1"/>
  <c r="D37" i="8"/>
  <c r="D38" i="8" s="1"/>
  <c r="C37" i="8"/>
  <c r="C38" i="8" s="1"/>
  <c r="AC36" i="8"/>
  <c r="W36" i="8"/>
  <c r="AC35" i="8"/>
  <c r="W35" i="8"/>
  <c r="AC34" i="8"/>
  <c r="W34" i="8"/>
  <c r="AC33" i="8"/>
  <c r="W33" i="8"/>
  <c r="AC32" i="8"/>
  <c r="W32" i="8"/>
  <c r="AC31" i="8"/>
  <c r="W31" i="8"/>
  <c r="AC30" i="8"/>
  <c r="W30" i="8"/>
  <c r="AC29" i="8"/>
  <c r="W29" i="8"/>
  <c r="AC28" i="8"/>
  <c r="W28" i="8"/>
  <c r="AC27" i="8"/>
  <c r="W27" i="8"/>
  <c r="AC26" i="8"/>
  <c r="W26" i="8"/>
  <c r="AC25" i="8"/>
  <c r="W25" i="8"/>
  <c r="AC24" i="8"/>
  <c r="W24" i="8"/>
  <c r="AC23" i="8"/>
  <c r="W23" i="8"/>
  <c r="AC22" i="8"/>
  <c r="W22" i="8"/>
  <c r="AC21" i="8"/>
  <c r="W21" i="8"/>
  <c r="AC20" i="8"/>
  <c r="W20" i="8"/>
  <c r="AC19" i="8"/>
  <c r="W19" i="8"/>
  <c r="AC18" i="8"/>
  <c r="W18" i="8"/>
  <c r="AC17" i="8"/>
  <c r="W17" i="8"/>
  <c r="AC16" i="8"/>
  <c r="W16" i="8"/>
  <c r="AC15" i="8"/>
  <c r="W15" i="8"/>
  <c r="AC14" i="8"/>
  <c r="W14" i="8"/>
  <c r="AC13" i="8"/>
  <c r="W13" i="8"/>
  <c r="AC12" i="8"/>
  <c r="W12" i="8"/>
  <c r="AC11" i="8"/>
  <c r="W11" i="8"/>
  <c r="AC35" i="7"/>
  <c r="W35" i="7"/>
  <c r="AJ19" i="13" l="1"/>
  <c r="AK19" i="13" s="1"/>
  <c r="AM19" i="13" s="1"/>
  <c r="AJ27" i="13"/>
  <c r="AK27" i="13" s="1"/>
  <c r="AM27" i="13" s="1"/>
  <c r="AJ36" i="13"/>
  <c r="AK36" i="13" s="1"/>
  <c r="AM36" i="13" s="1"/>
  <c r="AJ18" i="13"/>
  <c r="AK18" i="13" s="1"/>
  <c r="AJ26" i="13"/>
  <c r="AK26" i="13" s="1"/>
  <c r="AL26" i="13" s="1"/>
  <c r="AJ39" i="13"/>
  <c r="AK39" i="13" s="1"/>
  <c r="AM39" i="13" s="1"/>
  <c r="AJ16" i="13"/>
  <c r="AK16" i="13" s="1"/>
  <c r="AL16" i="13" s="1"/>
  <c r="AJ24" i="13"/>
  <c r="AK24" i="13" s="1"/>
  <c r="AL24" i="13" s="1"/>
  <c r="AJ14" i="13"/>
  <c r="AK14" i="13" s="1"/>
  <c r="AJ22" i="13"/>
  <c r="AK22" i="13" s="1"/>
  <c r="AL22" i="13" s="1"/>
  <c r="AJ20" i="13"/>
  <c r="AK20" i="13" s="1"/>
  <c r="AL20" i="13" s="1"/>
  <c r="AJ13" i="13"/>
  <c r="AK13" i="13" s="1"/>
  <c r="AM13" i="13" s="1"/>
  <c r="AJ40" i="13"/>
  <c r="AK40" i="13" s="1"/>
  <c r="AM40" i="13" s="1"/>
  <c r="AJ12" i="13"/>
  <c r="AK12" i="13" s="1"/>
  <c r="AM12" i="13" s="1"/>
  <c r="AJ41" i="12"/>
  <c r="AK41" i="12" s="1"/>
  <c r="AM41" i="12" s="1"/>
  <c r="AJ12" i="12"/>
  <c r="AK12" i="12" s="1"/>
  <c r="AL12" i="12" s="1"/>
  <c r="AJ38" i="12"/>
  <c r="AK38" i="12" s="1"/>
  <c r="AM38" i="12" s="1"/>
  <c r="AJ32" i="14"/>
  <c r="AK32" i="14" s="1"/>
  <c r="AM32" i="14" s="1"/>
  <c r="AJ15" i="14"/>
  <c r="AK15" i="14" s="1"/>
  <c r="AJ23" i="14"/>
  <c r="AK23" i="14" s="1"/>
  <c r="AJ13" i="14"/>
  <c r="AK13" i="14" s="1"/>
  <c r="AJ24" i="14"/>
  <c r="AK24" i="14" s="1"/>
  <c r="AM24" i="14" s="1"/>
  <c r="AJ21" i="14"/>
  <c r="AK21" i="14" s="1"/>
  <c r="AM21" i="14" s="1"/>
  <c r="AJ25" i="14"/>
  <c r="AK25" i="14" s="1"/>
  <c r="AL25" i="14" s="1"/>
  <c r="AJ29" i="14"/>
  <c r="AK29" i="14" s="1"/>
  <c r="AJ33" i="14"/>
  <c r="AK33" i="14" s="1"/>
  <c r="AL33" i="14" s="1"/>
  <c r="AJ30" i="14"/>
  <c r="AK30" i="14" s="1"/>
  <c r="AJ31" i="14"/>
  <c r="AK31" i="14" s="1"/>
  <c r="AL31" i="14" s="1"/>
  <c r="AJ35" i="14"/>
  <c r="AK35" i="14" s="1"/>
  <c r="AM35" i="14" s="1"/>
  <c r="AJ20" i="14"/>
  <c r="AK20" i="14" s="1"/>
  <c r="AM20" i="14" s="1"/>
  <c r="AJ19" i="11"/>
  <c r="AK19" i="11" s="1"/>
  <c r="AM19" i="11" s="1"/>
  <c r="AJ27" i="11"/>
  <c r="AK27" i="11" s="1"/>
  <c r="AJ35" i="11"/>
  <c r="AK35" i="11" s="1"/>
  <c r="AM35" i="11" s="1"/>
  <c r="AJ22" i="11"/>
  <c r="AK22" i="11" s="1"/>
  <c r="AL22" i="11" s="1"/>
  <c r="AJ13" i="11"/>
  <c r="AK13" i="11" s="1"/>
  <c r="AM13" i="11" s="1"/>
  <c r="AJ17" i="11"/>
  <c r="AK17" i="11" s="1"/>
  <c r="AJ15" i="11"/>
  <c r="AK15" i="11" s="1"/>
  <c r="AM15" i="11" s="1"/>
  <c r="AJ36" i="11"/>
  <c r="AK36" i="11" s="1"/>
  <c r="AL36" i="11" s="1"/>
  <c r="AJ23" i="11"/>
  <c r="AK23" i="11" s="1"/>
  <c r="AM23" i="11" s="1"/>
  <c r="AJ30" i="10"/>
  <c r="AK30" i="10" s="1"/>
  <c r="AL30" i="10" s="1"/>
  <c r="AJ26" i="10"/>
  <c r="AK26" i="10" s="1"/>
  <c r="AM26" i="10" s="1"/>
  <c r="AJ34" i="10"/>
  <c r="AK34" i="10" s="1"/>
  <c r="AL34" i="10" s="1"/>
  <c r="AJ35" i="10"/>
  <c r="AK35" i="10" s="1"/>
  <c r="AM35" i="10" s="1"/>
  <c r="AJ17" i="10"/>
  <c r="AK17" i="10" s="1"/>
  <c r="AJ21" i="10"/>
  <c r="AK21" i="10" s="1"/>
  <c r="AM21" i="10" s="1"/>
  <c r="AJ25" i="10"/>
  <c r="AK25" i="10" s="1"/>
  <c r="AM25" i="10" s="1"/>
  <c r="AJ19" i="10"/>
  <c r="AK19" i="10" s="1"/>
  <c r="AL19" i="10" s="1"/>
  <c r="AJ24" i="10"/>
  <c r="AK24" i="10" s="1"/>
  <c r="AM24" i="10" s="1"/>
  <c r="AJ16" i="10"/>
  <c r="AK16" i="10" s="1"/>
  <c r="AM16" i="10" s="1"/>
  <c r="AJ28" i="10"/>
  <c r="AK28" i="10" s="1"/>
  <c r="AL28" i="10" s="1"/>
  <c r="AJ20" i="10"/>
  <c r="AK20" i="10" s="1"/>
  <c r="AM20" i="10" s="1"/>
  <c r="AJ28" i="13"/>
  <c r="AK28" i="13" s="1"/>
  <c r="AL28" i="13" s="1"/>
  <c r="AJ41" i="13"/>
  <c r="AK41" i="13" s="1"/>
  <c r="AJ42" i="13"/>
  <c r="AK42" i="13" s="1"/>
  <c r="AJ23" i="13"/>
  <c r="AJ31" i="13"/>
  <c r="AJ15" i="13"/>
  <c r="AJ25" i="13"/>
  <c r="AK25" i="13" s="1"/>
  <c r="AM25" i="13" s="1"/>
  <c r="AJ30" i="13"/>
  <c r="AK30" i="13" s="1"/>
  <c r="AL30" i="13" s="1"/>
  <c r="AJ35" i="13"/>
  <c r="AK35" i="13" s="1"/>
  <c r="AJ37" i="13"/>
  <c r="AK37" i="13" s="1"/>
  <c r="AM38" i="13"/>
  <c r="AJ28" i="14"/>
  <c r="AK28" i="14" s="1"/>
  <c r="AM28" i="14" s="1"/>
  <c r="AJ12" i="11"/>
  <c r="AK12" i="11" s="1"/>
  <c r="AL12" i="11" s="1"/>
  <c r="AJ20" i="11"/>
  <c r="AK20" i="11" s="1"/>
  <c r="AJ28" i="11"/>
  <c r="AK28" i="11" s="1"/>
  <c r="AL28" i="11" s="1"/>
  <c r="AJ36" i="9"/>
  <c r="AJ35" i="7"/>
  <c r="AK35" i="7" s="1"/>
  <c r="AJ12" i="7"/>
  <c r="AK12" i="7" s="1"/>
  <c r="AM14" i="13"/>
  <c r="AL14" i="13"/>
  <c r="AM33" i="13"/>
  <c r="AL33" i="13"/>
  <c r="AM16" i="13"/>
  <c r="AM21" i="13"/>
  <c r="AL21" i="13"/>
  <c r="AM34" i="13"/>
  <c r="AL34" i="13"/>
  <c r="AM17" i="13"/>
  <c r="AL17" i="13"/>
  <c r="AM29" i="13"/>
  <c r="AL29" i="13"/>
  <c r="AL18" i="13"/>
  <c r="AM18" i="13"/>
  <c r="AM20" i="13"/>
  <c r="AL32" i="13"/>
  <c r="AM32" i="13"/>
  <c r="AJ40" i="12"/>
  <c r="AK40" i="12" s="1"/>
  <c r="AJ39" i="12"/>
  <c r="AK39" i="12" s="1"/>
  <c r="AJ36" i="12"/>
  <c r="AK36" i="12" s="1"/>
  <c r="AJ34" i="12"/>
  <c r="AK34" i="12" s="1"/>
  <c r="AJ35" i="12"/>
  <c r="AK35" i="12" s="1"/>
  <c r="AJ37" i="12"/>
  <c r="AK37" i="12" s="1"/>
  <c r="AJ14" i="12"/>
  <c r="AK14" i="12" s="1"/>
  <c r="AJ19" i="12"/>
  <c r="AK19" i="12" s="1"/>
  <c r="AJ32" i="12"/>
  <c r="AK32" i="12" s="1"/>
  <c r="AJ18" i="12"/>
  <c r="AK18" i="12" s="1"/>
  <c r="AJ17" i="12"/>
  <c r="AK17" i="12" s="1"/>
  <c r="AJ28" i="12"/>
  <c r="AK28" i="12" s="1"/>
  <c r="AJ33" i="12"/>
  <c r="AK33" i="12" s="1"/>
  <c r="AJ42" i="12"/>
  <c r="AK42" i="12" s="1"/>
  <c r="AJ25" i="12"/>
  <c r="AK25" i="12" s="1"/>
  <c r="AJ15" i="12"/>
  <c r="AK15" i="12" s="1"/>
  <c r="AJ21" i="12"/>
  <c r="AK21" i="12" s="1"/>
  <c r="AJ16" i="12"/>
  <c r="AK16" i="12" s="1"/>
  <c r="AJ24" i="12"/>
  <c r="AK24" i="12" s="1"/>
  <c r="AJ23" i="12"/>
  <c r="AK23" i="12" s="1"/>
  <c r="AJ27" i="12"/>
  <c r="AK27" i="12" s="1"/>
  <c r="AJ30" i="12"/>
  <c r="AK30" i="12" s="1"/>
  <c r="AJ26" i="12"/>
  <c r="AK26" i="12" s="1"/>
  <c r="AJ22" i="12"/>
  <c r="AK22" i="12" s="1"/>
  <c r="AJ29" i="12"/>
  <c r="AK29" i="12" s="1"/>
  <c r="AJ31" i="12"/>
  <c r="AK31" i="12" s="1"/>
  <c r="AJ13" i="12"/>
  <c r="AK13" i="12" s="1"/>
  <c r="AJ20" i="12"/>
  <c r="AK20" i="12" s="1"/>
  <c r="AL21" i="14"/>
  <c r="AM14" i="14"/>
  <c r="AL14" i="14"/>
  <c r="AL18" i="14"/>
  <c r="AM18" i="14"/>
  <c r="AM16" i="14"/>
  <c r="AL16" i="14"/>
  <c r="AM29" i="14"/>
  <c r="AL29" i="14"/>
  <c r="AL34" i="14"/>
  <c r="AM34" i="14"/>
  <c r="AM22" i="14"/>
  <c r="AL22" i="14"/>
  <c r="AL15" i="14"/>
  <c r="AM15" i="14"/>
  <c r="AM31" i="14"/>
  <c r="AM17" i="14"/>
  <c r="AL17" i="14"/>
  <c r="AL26" i="14"/>
  <c r="AM26" i="14"/>
  <c r="AM12" i="14"/>
  <c r="AL12" i="14"/>
  <c r="AM25" i="14"/>
  <c r="AL27" i="14"/>
  <c r="AM27" i="14"/>
  <c r="AM30" i="14"/>
  <c r="AL30" i="14"/>
  <c r="AL19" i="14"/>
  <c r="AM19" i="14"/>
  <c r="AM23" i="14"/>
  <c r="AL23" i="14"/>
  <c r="AM27" i="11"/>
  <c r="AL27" i="11"/>
  <c r="AM16" i="11"/>
  <c r="AL16" i="11"/>
  <c r="AM25" i="11"/>
  <c r="AL25" i="11"/>
  <c r="AM18" i="11"/>
  <c r="AL18" i="11"/>
  <c r="AM14" i="11"/>
  <c r="AL14" i="11"/>
  <c r="AM21" i="11"/>
  <c r="AL21" i="11"/>
  <c r="AM24" i="11"/>
  <c r="AL24" i="11"/>
  <c r="AM31" i="11"/>
  <c r="AL31" i="11"/>
  <c r="AL33" i="11"/>
  <c r="AM33" i="11"/>
  <c r="AM11" i="11"/>
  <c r="AL11" i="11"/>
  <c r="AM26" i="11"/>
  <c r="AL26" i="11"/>
  <c r="AM36" i="11"/>
  <c r="AM22" i="11"/>
  <c r="AM29" i="11"/>
  <c r="AL29" i="11"/>
  <c r="AM32" i="11"/>
  <c r="AL32" i="11"/>
  <c r="AL19" i="11"/>
  <c r="AM34" i="11"/>
  <c r="AL34" i="11"/>
  <c r="AL17" i="11"/>
  <c r="AM17" i="11"/>
  <c r="AL20" i="11"/>
  <c r="AM20" i="11"/>
  <c r="AM30" i="11"/>
  <c r="AL30" i="11"/>
  <c r="AL21" i="10"/>
  <c r="AJ23" i="10"/>
  <c r="AK23" i="10" s="1"/>
  <c r="AM23" i="10" s="1"/>
  <c r="AJ27" i="10"/>
  <c r="AK27" i="10" s="1"/>
  <c r="AL27" i="10" s="1"/>
  <c r="AJ32" i="10"/>
  <c r="AK32" i="10" s="1"/>
  <c r="AL32" i="10" s="1"/>
  <c r="AJ15" i="10"/>
  <c r="AK15" i="10" s="1"/>
  <c r="AM15" i="10" s="1"/>
  <c r="AJ31" i="10"/>
  <c r="AK31" i="10" s="1"/>
  <c r="AM31" i="10" s="1"/>
  <c r="AJ22" i="10"/>
  <c r="AK22" i="10" s="1"/>
  <c r="AM22" i="10" s="1"/>
  <c r="AL12" i="10"/>
  <c r="AM12" i="10"/>
  <c r="AM19" i="10"/>
  <c r="AM30" i="10"/>
  <c r="AM17" i="10"/>
  <c r="AL17" i="10"/>
  <c r="AM33" i="10"/>
  <c r="AL33" i="10"/>
  <c r="AM29" i="10"/>
  <c r="AL29" i="10"/>
  <c r="AM14" i="10"/>
  <c r="AL14" i="10"/>
  <c r="AL18" i="10"/>
  <c r="AM18" i="10"/>
  <c r="AM13" i="10"/>
  <c r="AL13" i="10"/>
  <c r="AL23" i="10"/>
  <c r="AM27" i="9"/>
  <c r="AL27" i="9"/>
  <c r="AL15" i="9"/>
  <c r="AM15" i="9"/>
  <c r="AL12" i="9"/>
  <c r="AM12" i="9"/>
  <c r="AL18" i="9"/>
  <c r="AM18" i="9"/>
  <c r="AL23" i="9"/>
  <c r="AM23" i="9"/>
  <c r="AM36" i="9"/>
  <c r="AL36" i="9"/>
  <c r="AM13" i="9"/>
  <c r="AL13" i="9"/>
  <c r="AL20" i="9"/>
  <c r="AM20" i="9"/>
  <c r="AL26" i="9"/>
  <c r="AM26" i="9"/>
  <c r="AL31" i="9"/>
  <c r="AM31" i="9"/>
  <c r="AM25" i="9"/>
  <c r="AL25" i="9"/>
  <c r="AM21" i="9"/>
  <c r="AL21" i="9"/>
  <c r="AM29" i="9"/>
  <c r="AL29" i="9"/>
  <c r="AJ37" i="9"/>
  <c r="AL14" i="9"/>
  <c r="AM14" i="9"/>
  <c r="AM32" i="9"/>
  <c r="AL32" i="9"/>
  <c r="AM30" i="9"/>
  <c r="AL30" i="9"/>
  <c r="AM33" i="9"/>
  <c r="AL33" i="9"/>
  <c r="AM16" i="9"/>
  <c r="AL16" i="9"/>
  <c r="AL28" i="9"/>
  <c r="AM28" i="9"/>
  <c r="AL34" i="9"/>
  <c r="AM34" i="9"/>
  <c r="AM24" i="9"/>
  <c r="AL24" i="9"/>
  <c r="AM17" i="9"/>
  <c r="AL17" i="9"/>
  <c r="AM19" i="9"/>
  <c r="AL19" i="9"/>
  <c r="AM22" i="9"/>
  <c r="AL22" i="9"/>
  <c r="AM12" i="8"/>
  <c r="AM35" i="8"/>
  <c r="AM21" i="8"/>
  <c r="AL21" i="8"/>
  <c r="AM34" i="8"/>
  <c r="AL34" i="8"/>
  <c r="AM32" i="8"/>
  <c r="AL32" i="8"/>
  <c r="AM17" i="8"/>
  <c r="AL17" i="8"/>
  <c r="AL19" i="8"/>
  <c r="AM19" i="8"/>
  <c r="AL22" i="8"/>
  <c r="AM22" i="8"/>
  <c r="AM24" i="8"/>
  <c r="AL24" i="8"/>
  <c r="AJ37" i="8"/>
  <c r="AL27" i="8"/>
  <c r="AM27" i="8"/>
  <c r="AL30" i="8"/>
  <c r="AM30" i="8"/>
  <c r="AM16" i="8"/>
  <c r="AL16" i="8"/>
  <c r="AM29" i="8"/>
  <c r="AL29" i="8"/>
  <c r="AM14" i="8"/>
  <c r="AL14" i="8"/>
  <c r="AM25" i="8"/>
  <c r="AL25" i="8"/>
  <c r="AL15" i="8"/>
  <c r="AM15" i="8"/>
  <c r="AM33" i="8"/>
  <c r="AL33" i="8"/>
  <c r="AL23" i="8"/>
  <c r="AM23" i="8"/>
  <c r="AM13" i="8"/>
  <c r="AL13" i="8"/>
  <c r="AM18" i="8"/>
  <c r="AL18" i="8"/>
  <c r="AL20" i="8"/>
  <c r="AM20" i="8"/>
  <c r="AM31" i="8"/>
  <c r="AL31" i="8"/>
  <c r="AM36" i="8"/>
  <c r="AL36" i="8"/>
  <c r="AM26" i="8"/>
  <c r="AL26" i="8"/>
  <c r="AL28" i="8"/>
  <c r="AM28" i="8"/>
  <c r="AL27" i="13" l="1"/>
  <c r="AM26" i="13"/>
  <c r="AM22" i="13"/>
  <c r="AL19" i="13"/>
  <c r="AM28" i="13"/>
  <c r="AM24" i="13"/>
  <c r="AK15" i="13"/>
  <c r="AM15" i="13" s="1"/>
  <c r="AL13" i="13"/>
  <c r="AK31" i="13"/>
  <c r="AM31" i="13" s="1"/>
  <c r="AK23" i="13"/>
  <c r="AL23" i="13" s="1"/>
  <c r="AL25" i="13"/>
  <c r="AM30" i="13"/>
  <c r="AL12" i="13"/>
  <c r="AM33" i="14"/>
  <c r="AL32" i="14"/>
  <c r="AL13" i="14"/>
  <c r="AM13" i="14"/>
  <c r="AL24" i="14"/>
  <c r="AJ36" i="14"/>
  <c r="AL28" i="14"/>
  <c r="AL20" i="14"/>
  <c r="AL15" i="11"/>
  <c r="AL13" i="11"/>
  <c r="AL37" i="11" s="1"/>
  <c r="AM28" i="11"/>
  <c r="AL23" i="11"/>
  <c r="AL26" i="10"/>
  <c r="AL25" i="10"/>
  <c r="AL20" i="10"/>
  <c r="AM28" i="10"/>
  <c r="AM34" i="10"/>
  <c r="AL24" i="10"/>
  <c r="AL16" i="10"/>
  <c r="AK36" i="10"/>
  <c r="AM27" i="10"/>
  <c r="AJ43" i="13"/>
  <c r="AM41" i="13"/>
  <c r="AM35" i="13"/>
  <c r="AM37" i="13"/>
  <c r="AM42" i="13"/>
  <c r="AL16" i="12"/>
  <c r="AM39" i="12"/>
  <c r="AM21" i="12"/>
  <c r="AM40" i="12"/>
  <c r="AM26" i="12"/>
  <c r="AL19" i="12"/>
  <c r="AL25" i="12"/>
  <c r="AK43" i="12"/>
  <c r="AL30" i="12"/>
  <c r="AM42" i="12"/>
  <c r="AM37" i="12"/>
  <c r="AM20" i="12"/>
  <c r="AM27" i="12"/>
  <c r="AM33" i="12"/>
  <c r="AM35" i="12"/>
  <c r="AM23" i="12"/>
  <c r="AL28" i="12"/>
  <c r="AM34" i="12"/>
  <c r="AM29" i="12"/>
  <c r="AL18" i="12"/>
  <c r="AM22" i="12"/>
  <c r="AM32" i="12"/>
  <c r="AL15" i="12"/>
  <c r="AL31" i="12"/>
  <c r="AM24" i="12"/>
  <c r="AL17" i="12"/>
  <c r="AM36" i="12"/>
  <c r="AJ37" i="11"/>
  <c r="AK37" i="11"/>
  <c r="AM12" i="11"/>
  <c r="AM32" i="10"/>
  <c r="AL15" i="10"/>
  <c r="AM11" i="13"/>
  <c r="AL11" i="13"/>
  <c r="AL13" i="12"/>
  <c r="AM19" i="12"/>
  <c r="AM14" i="12"/>
  <c r="AJ43" i="12"/>
  <c r="AM17" i="12"/>
  <c r="AM28" i="12"/>
  <c r="AL24" i="12"/>
  <c r="AM30" i="12"/>
  <c r="AL27" i="12"/>
  <c r="AM12" i="12"/>
  <c r="AL22" i="12"/>
  <c r="AL26" i="12"/>
  <c r="AL11" i="12"/>
  <c r="AM11" i="12"/>
  <c r="AK36" i="14"/>
  <c r="AL11" i="14"/>
  <c r="AM11" i="14"/>
  <c r="AM36" i="14" s="1"/>
  <c r="AL22" i="10"/>
  <c r="AJ36" i="10"/>
  <c r="AL31" i="10"/>
  <c r="AM11" i="10"/>
  <c r="AL11" i="10"/>
  <c r="AK37" i="9"/>
  <c r="AM11" i="9"/>
  <c r="AM37" i="9" s="1"/>
  <c r="AL11" i="9"/>
  <c r="AL37" i="9" s="1"/>
  <c r="AL12" i="8"/>
  <c r="AK37" i="8"/>
  <c r="AM11" i="8"/>
  <c r="AM37" i="8" s="1"/>
  <c r="AL11" i="8"/>
  <c r="AM35" i="7"/>
  <c r="AM23" i="13" l="1"/>
  <c r="AM43" i="13" s="1"/>
  <c r="AL31" i="13"/>
  <c r="AL15" i="13"/>
  <c r="AL36" i="14"/>
  <c r="AM37" i="11"/>
  <c r="AM36" i="10"/>
  <c r="AK43" i="13"/>
  <c r="AL20" i="12"/>
  <c r="AM31" i="12"/>
  <c r="AM18" i="12"/>
  <c r="AL23" i="12"/>
  <c r="AL14" i="12"/>
  <c r="AL29" i="12"/>
  <c r="AM15" i="12"/>
  <c r="AM25" i="12"/>
  <c r="AL21" i="12"/>
  <c r="AL32" i="12"/>
  <c r="AL34" i="12"/>
  <c r="AL33" i="12"/>
  <c r="AM16" i="12"/>
  <c r="AM13" i="12"/>
  <c r="AL36" i="10"/>
  <c r="AL37" i="8"/>
  <c r="AL43" i="13" l="1"/>
  <c r="AL43" i="12"/>
  <c r="AM43" i="12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6" i="7"/>
  <c r="W13" i="7"/>
  <c r="W14" i="7"/>
  <c r="AJ14" i="7" s="1"/>
  <c r="AK14" i="7" s="1"/>
  <c r="W15" i="7"/>
  <c r="W16" i="7"/>
  <c r="AJ16" i="7" s="1"/>
  <c r="AK16" i="7" s="1"/>
  <c r="W17" i="7"/>
  <c r="W18" i="7"/>
  <c r="W19" i="7"/>
  <c r="W20" i="7"/>
  <c r="W21" i="7"/>
  <c r="W22" i="7"/>
  <c r="AJ22" i="7" s="1"/>
  <c r="AK22" i="7" s="1"/>
  <c r="W23" i="7"/>
  <c r="W24" i="7"/>
  <c r="AJ24" i="7" s="1"/>
  <c r="AK24" i="7" s="1"/>
  <c r="W25" i="7"/>
  <c r="W26" i="7"/>
  <c r="W27" i="7"/>
  <c r="W28" i="7"/>
  <c r="W29" i="7"/>
  <c r="W30" i="7"/>
  <c r="AJ30" i="7" s="1"/>
  <c r="AK30" i="7" s="1"/>
  <c r="W31" i="7"/>
  <c r="W32" i="7"/>
  <c r="AJ32" i="7" s="1"/>
  <c r="AK32" i="7" s="1"/>
  <c r="W33" i="7"/>
  <c r="W34" i="7"/>
  <c r="W36" i="7"/>
  <c r="AH37" i="7"/>
  <c r="AH38" i="7" s="1"/>
  <c r="AG37" i="7"/>
  <c r="AG38" i="7" s="1"/>
  <c r="AF37" i="7"/>
  <c r="AF38" i="7" s="1"/>
  <c r="AE37" i="7"/>
  <c r="AE38" i="7" s="1"/>
  <c r="AD37" i="7"/>
  <c r="AD38" i="7" s="1"/>
  <c r="AB37" i="7"/>
  <c r="AB38" i="7" s="1"/>
  <c r="AA37" i="7"/>
  <c r="AA38" i="7" s="1"/>
  <c r="Z37" i="7"/>
  <c r="Z38" i="7" s="1"/>
  <c r="Y37" i="7"/>
  <c r="Y38" i="7" s="1"/>
  <c r="X37" i="7"/>
  <c r="X38" i="7" s="1"/>
  <c r="V37" i="7"/>
  <c r="V38" i="7" s="1"/>
  <c r="U37" i="7"/>
  <c r="U38" i="7" s="1"/>
  <c r="T37" i="7"/>
  <c r="T38" i="7" s="1"/>
  <c r="S37" i="7"/>
  <c r="S38" i="7" s="1"/>
  <c r="R37" i="7"/>
  <c r="R38" i="7" s="1"/>
  <c r="Q37" i="7"/>
  <c r="Q38" i="7" s="1"/>
  <c r="P37" i="7"/>
  <c r="P38" i="7" s="1"/>
  <c r="O37" i="7"/>
  <c r="O38" i="7" s="1"/>
  <c r="N37" i="7"/>
  <c r="N38" i="7" s="1"/>
  <c r="M37" i="7"/>
  <c r="M38" i="7" s="1"/>
  <c r="L37" i="7"/>
  <c r="L38" i="7" s="1"/>
  <c r="K37" i="7"/>
  <c r="K38" i="7" s="1"/>
  <c r="J37" i="7"/>
  <c r="J38" i="7" s="1"/>
  <c r="I37" i="7"/>
  <c r="I38" i="7" s="1"/>
  <c r="H37" i="7"/>
  <c r="H38" i="7" s="1"/>
  <c r="G37" i="7"/>
  <c r="G38" i="7" s="1"/>
  <c r="F37" i="7"/>
  <c r="F38" i="7" s="1"/>
  <c r="E37" i="7"/>
  <c r="E38" i="7" s="1"/>
  <c r="D37" i="7"/>
  <c r="D38" i="7" s="1"/>
  <c r="C37" i="7"/>
  <c r="C38" i="7" s="1"/>
  <c r="AJ29" i="7" l="1"/>
  <c r="AJ21" i="7"/>
  <c r="AK21" i="7" s="1"/>
  <c r="AL21" i="7" s="1"/>
  <c r="AJ13" i="7"/>
  <c r="AJ34" i="7"/>
  <c r="AK34" i="7" s="1"/>
  <c r="AJ26" i="7"/>
  <c r="AK26" i="7" s="1"/>
  <c r="AJ18" i="7"/>
  <c r="AK18" i="7" s="1"/>
  <c r="AJ28" i="7"/>
  <c r="AK28" i="7" s="1"/>
  <c r="AJ19" i="7"/>
  <c r="AK19" i="7" s="1"/>
  <c r="AJ20" i="7"/>
  <c r="AK20" i="7" s="1"/>
  <c r="AJ36" i="7"/>
  <c r="AK36" i="7" s="1"/>
  <c r="AJ27" i="7"/>
  <c r="AK27" i="7" s="1"/>
  <c r="AJ33" i="7"/>
  <c r="AK33" i="7" s="1"/>
  <c r="AJ25" i="7"/>
  <c r="AK25" i="7" s="1"/>
  <c r="AJ17" i="7"/>
  <c r="AK17" i="7" s="1"/>
  <c r="AJ31" i="7"/>
  <c r="AK31" i="7" s="1"/>
  <c r="AJ23" i="7"/>
  <c r="AK23" i="7" s="1"/>
  <c r="AJ15" i="7"/>
  <c r="AK15" i="7" s="1"/>
  <c r="AM21" i="7"/>
  <c r="AL16" i="7"/>
  <c r="AM16" i="7"/>
  <c r="AK29" i="7" l="1"/>
  <c r="AL29" i="7" s="1"/>
  <c r="AK13" i="7"/>
  <c r="AM13" i="7" s="1"/>
  <c r="AM29" i="7"/>
  <c r="AL32" i="7"/>
  <c r="AL24" i="7"/>
  <c r="AJ37" i="7"/>
  <c r="AM19" i="7"/>
  <c r="AL19" i="7"/>
  <c r="AL12" i="7"/>
  <c r="AM12" i="7"/>
  <c r="AM15" i="7"/>
  <c r="AL15" i="7"/>
  <c r="AL26" i="7"/>
  <c r="AM26" i="7"/>
  <c r="AM36" i="7"/>
  <c r="AL36" i="7"/>
  <c r="AL18" i="7"/>
  <c r="AM18" i="7"/>
  <c r="AM33" i="7"/>
  <c r="AL33" i="7"/>
  <c r="AL34" i="7"/>
  <c r="AM34" i="7"/>
  <c r="AL30" i="7"/>
  <c r="AM30" i="7"/>
  <c r="AL14" i="7"/>
  <c r="AM14" i="7"/>
  <c r="AL28" i="7"/>
  <c r="AM28" i="7"/>
  <c r="AM25" i="7"/>
  <c r="AL25" i="7"/>
  <c r="AL22" i="7"/>
  <c r="AM22" i="7"/>
  <c r="AL31" i="7"/>
  <c r="AM31" i="7"/>
  <c r="AM27" i="7"/>
  <c r="AL27" i="7"/>
  <c r="AL23" i="7"/>
  <c r="AM23" i="7"/>
  <c r="AL20" i="7"/>
  <c r="AM20" i="7"/>
  <c r="AM17" i="7"/>
  <c r="AL17" i="7"/>
  <c r="AL13" i="7" l="1"/>
  <c r="AM32" i="7"/>
  <c r="AK37" i="7"/>
  <c r="AM24" i="7"/>
  <c r="AM11" i="7"/>
  <c r="AL11" i="7"/>
  <c r="AL37" i="7" s="1"/>
  <c r="AM37" i="7" l="1"/>
</calcChain>
</file>

<file path=xl/sharedStrings.xml><?xml version="1.0" encoding="utf-8"?>
<sst xmlns="http://schemas.openxmlformats.org/spreadsheetml/2006/main" count="690" uniqueCount="281">
  <si>
    <t>NAMA SEKOLAH</t>
  </si>
  <si>
    <r>
      <t xml:space="preserve">: </t>
    </r>
    <r>
      <rPr>
        <b/>
        <sz val="12"/>
        <rFont val="Cambria"/>
        <family val="1"/>
      </rPr>
      <t>SDIT AL-FIKRI</t>
    </r>
  </si>
  <si>
    <t>MATA PELAJARAN</t>
  </si>
  <si>
    <t>KELAS</t>
  </si>
  <si>
    <t>No</t>
  </si>
  <si>
    <t>Nama Peserta Didik</t>
  </si>
  <si>
    <t>A. Pilihan Ganda</t>
  </si>
  <si>
    <t>Jwbn Bnr</t>
  </si>
  <si>
    <t xml:space="preserve">B. Isian </t>
  </si>
  <si>
    <r>
      <t xml:space="preserve">Jml </t>
    </r>
    <r>
      <rPr>
        <b/>
        <u/>
        <sz val="12"/>
        <rFont val="Cambria"/>
        <family val="1"/>
      </rPr>
      <t>A+B+C</t>
    </r>
  </si>
  <si>
    <t>NILAI AKHIR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</si>
  <si>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</si>
  <si>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</si>
  <si>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</si>
  <si>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</si>
  <si>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</si>
  <si>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</si>
  <si>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</si>
  <si>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</si>
  <si>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</si>
  <si>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</si>
  <si>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</si>
  <si>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</si>
  <si>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</si>
  <si>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</si>
  <si>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</si>
  <si>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</si>
  <si>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</si>
  <si>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</si>
  <si>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</si>
  <si>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</si>
  <si>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( 1 x 1 )</t>
  </si>
  <si>
    <t>( 2 x 1 )</t>
  </si>
  <si>
    <t>L</t>
  </si>
  <si>
    <t>TL</t>
  </si>
  <si>
    <t xml:space="preserve">: </t>
  </si>
  <si>
    <t>Jumlah jawaban benar @soal</t>
  </si>
  <si>
    <t>Persentase % Jawaban benar @soal</t>
  </si>
  <si>
    <t>Mengetahui</t>
  </si>
  <si>
    <t>Kepala SDIT Al-Fikri</t>
  </si>
  <si>
    <t>H. M. HALIM MUSTOMI, S.Pd.</t>
  </si>
  <si>
    <t>: I (Satu) A</t>
  </si>
  <si>
    <t xml:space="preserve">C. Menjodohkan </t>
  </si>
  <si>
    <t>ABQORI AHMAD MUSAFFA</t>
  </si>
  <si>
    <t>ADEELA ISRONA MAELIKA</t>
  </si>
  <si>
    <t>ADIBA SHAKILA</t>
  </si>
  <si>
    <t>AIRA SHIVANYA ARI</t>
  </si>
  <si>
    <t>AISYAH NUHA ZAHIRA</t>
  </si>
  <si>
    <t>ARKAN AL GHIFARI</t>
  </si>
  <si>
    <t>ARSYILA SHANUM SAFALUNA</t>
  </si>
  <si>
    <t>ARUNA SACHI KANAYA</t>
  </si>
  <si>
    <t>ATHARAUF FALAH SADDAM</t>
  </si>
  <si>
    <t>AZKA RAFFASYA</t>
  </si>
  <si>
    <t>AZURA RAFIFAH HIKARI</t>
  </si>
  <si>
    <t>BILAL AL FATIH</t>
  </si>
  <si>
    <t>BILQIS HUMAIRA PUTRI</t>
  </si>
  <si>
    <t>CHANTIKA NUR ZAHSY</t>
  </si>
  <si>
    <t>GUSTI ALI BRAWIJAYA</t>
  </si>
  <si>
    <t>IVONA DWI SHAFIQA SOLEH</t>
  </si>
  <si>
    <t>KHAYSA HALIMATU SA'DIYAH</t>
  </si>
  <si>
    <t>MUHAMAD HAIDAR MUKHTAR</t>
  </si>
  <si>
    <t>MUHAMMAD FAZRIL MAULANA</t>
  </si>
  <si>
    <t>MUHAMMAD KENZIE PARAHITA</t>
  </si>
  <si>
    <t>MUHAMMAD MISBAHUL HISYAM</t>
  </si>
  <si>
    <t>RAMADHAN NIBRAS SANTORO</t>
  </si>
  <si>
    <t>REVAN NARA AL FATIH</t>
  </si>
  <si>
    <t>SITI SYAFA'ATUS SALAMAH</t>
  </si>
  <si>
    <t>SYAFIRA HUMAIRA RAMADHANI</t>
  </si>
  <si>
    <t>NAMA GURU</t>
  </si>
  <si>
    <t>: I (Satu) B</t>
  </si>
  <si>
    <t>ABQARY AFKARIANSYAH</t>
  </si>
  <si>
    <t>ADELIA RAMADHANI</t>
  </si>
  <si>
    <t>ADZIN FARZAN ALHANAN</t>
  </si>
  <si>
    <t>ANDRA IVANDER KALFAHNI</t>
  </si>
  <si>
    <t>ARKA ANANDA PUTRA</t>
  </si>
  <si>
    <t>ARSAKHA FAEYZA FIRMANSAH</t>
  </si>
  <si>
    <t>FATIHA RIZKYA AULIA</t>
  </si>
  <si>
    <t>HAFIDZAH NUR JANNAH</t>
  </si>
  <si>
    <t>HILMI FAUZAN ALAWI</t>
  </si>
  <si>
    <t>KEYSHA AZZAHRA</t>
  </si>
  <si>
    <t>MOHAMAD ZIO RAMADAN</t>
  </si>
  <si>
    <t>MUHAMAD CHANDRA PUTRA BRATA</t>
  </si>
  <si>
    <t>MUHAMAD DIRGA AL-HAFIDZ</t>
  </si>
  <si>
    <t>MUHAMMAD ADAM ABQARY</t>
  </si>
  <si>
    <t>MUHAMMAD ARIF</t>
  </si>
  <si>
    <t>MUHAMMAD IRSYAD SIDDIQ</t>
  </si>
  <si>
    <t>NAZEEVA KHAIRA SHANUM</t>
  </si>
  <si>
    <t>NEVISYA CAHAYA KAHIYANG AYU</t>
  </si>
  <si>
    <t>QIANDRA AZKHADINA DERMAYANTI TARIHORAN</t>
  </si>
  <si>
    <t>RANIA HAURA SAKHI</t>
  </si>
  <si>
    <t>RASYA MUHAMMAD ATHAYA</t>
  </si>
  <si>
    <t>RHEVA CALLYSTA PUTRI</t>
  </si>
  <si>
    <t>: I (Satu) C</t>
  </si>
  <si>
    <t>AHMAD NUR ALAMSYAH</t>
  </si>
  <si>
    <t>ALESHA SILMI NURZAHIDAH</t>
  </si>
  <si>
    <t>ANINDYA QOTRUNNADA FERRO</t>
  </si>
  <si>
    <t>ARFAN ADRIANSYAH</t>
  </si>
  <si>
    <t>ARYA SETIYAKI</t>
  </si>
  <si>
    <t>ARYA ZAHAIR SANJAYA</t>
  </si>
  <si>
    <t>AZKADINA ALFATHUNNISA</t>
  </si>
  <si>
    <t>AZRINA NAZLA PUTRI SUGIHARTO</t>
  </si>
  <si>
    <t>DEANDRA ALESHA PUTRI</t>
  </si>
  <si>
    <t>EZIO ATHARIZZ ALFAREZY</t>
  </si>
  <si>
    <t>KHALIF MUBARAK WIJAYA</t>
  </si>
  <si>
    <t>MUHAMMAD ARSHAQ ABQARY</t>
  </si>
  <si>
    <t>MUHAMMAD UWAIS ALQARNY</t>
  </si>
  <si>
    <t>MUTIA IZZATUNNISA</t>
  </si>
  <si>
    <t>NABILA PUTRI SAKHI</t>
  </si>
  <si>
    <t>NAUFAL ALFARIZKY</t>
  </si>
  <si>
    <t>QUINN AMEIRA HEINRICH</t>
  </si>
  <si>
    <t>RAFFASYA RAHANDIKA</t>
  </si>
  <si>
    <t>RINDU QURROTA A'YUN</t>
  </si>
  <si>
    <t>SAID INSANUL HANIF</t>
  </si>
  <si>
    <t>SYAFRIDAH HARNUM</t>
  </si>
  <si>
    <t>TSABITA FADIA CANDRA</t>
  </si>
  <si>
    <t>TUBAGUS RESTU HERMAWAN</t>
  </si>
  <si>
    <t>UKASYAH ZAID ABDULLAH</t>
  </si>
  <si>
    <t>ZELYN IZZATY MAZIYA</t>
  </si>
  <si>
    <t>: II (Dua) A</t>
  </si>
  <si>
    <t>ADRIAN PRADIPTA AMZARI</t>
  </si>
  <si>
    <t>AINUN NISA</t>
  </si>
  <si>
    <t>ALMEERA NAURA SAKHI</t>
  </si>
  <si>
    <t>ALYA RIZANI</t>
  </si>
  <si>
    <t>ALYSA HASNA ARIANTO</t>
  </si>
  <si>
    <t>ARSENIO NAUZAN RAHMATULLAH</t>
  </si>
  <si>
    <t>ARSYILA NURFADILLAH</t>
  </si>
  <si>
    <t>ARTANABIL RAQILA SHAHBAZ</t>
  </si>
  <si>
    <t>DANI ARIFIN PUTRA</t>
  </si>
  <si>
    <t>DAVIKO ATHA ZIKRI</t>
  </si>
  <si>
    <t>ELANG RAFIF IBRAHIM</t>
  </si>
  <si>
    <t>FAHMI AHZA SAPUTRA</t>
  </si>
  <si>
    <t>FEBBY AYUDIA DINARA PUTRI</t>
  </si>
  <si>
    <t>FILIO AVERROES FAHRUR ROZI</t>
  </si>
  <si>
    <t>HUMAIRA SABHIRA NAZEEFAH</t>
  </si>
  <si>
    <t>KANAYA SYIFA CAHYONO</t>
  </si>
  <si>
    <t>KENZI PRATAMA WIBOWO</t>
  </si>
  <si>
    <t>KEYRA ALESHA PUTIAZZAHRA</t>
  </si>
  <si>
    <t>KEYSHA DAFITHA RAMADHANI</t>
  </si>
  <si>
    <t>MUHAMMAD AKHWAS ALFARIZI</t>
  </si>
  <si>
    <t>MUHAMMAD ARDIAZ ATMADEVA</t>
  </si>
  <si>
    <t>MUHAMMAD ARIENDRA YUSUF</t>
  </si>
  <si>
    <t>MUHAMMAD HISYAM ALGHIFARI</t>
  </si>
  <si>
    <t>MUHAMMAD SHIDQI KHAIRIL MAULUD</t>
  </si>
  <si>
    <t>NAURA NASYITA MUBAROK</t>
  </si>
  <si>
    <t>NIKITA AHIMSA ARDANI</t>
  </si>
  <si>
    <t>RAZA AL-FARIZI AKBAR</t>
  </si>
  <si>
    <t>SABRINA KHANSA AZZAHRA</t>
  </si>
  <si>
    <t>: II (Dua) B</t>
  </si>
  <si>
    <t>ABID AZKA PRANADJA PRATAMA</t>
  </si>
  <si>
    <t>ADEEVA MAULIDA SENOPATI</t>
  </si>
  <si>
    <t>ADITYA CAHYA RAMADHAN</t>
  </si>
  <si>
    <t>ALMEERA AZZAHRA ALFATHUNISSA</t>
  </si>
  <si>
    <t>ALMEERA HUSNA MUFHIDAH</t>
  </si>
  <si>
    <t>ANA ALTAFUNNISA</t>
  </si>
  <si>
    <t>AQILA PUTRI ARIANTO</t>
  </si>
  <si>
    <t>ARSENIO DZIKRI RAMADHAN</t>
  </si>
  <si>
    <t>AZIZ NURDAFFA</t>
  </si>
  <si>
    <t>AZRIL RAHANDIKA ALFARIQ</t>
  </si>
  <si>
    <t>AZZAM ADRIAN</t>
  </si>
  <si>
    <t>CHALOSA PUTRI DZAKIYAH</t>
  </si>
  <si>
    <t>FATHAN DIMAS ATTALA</t>
  </si>
  <si>
    <t>FAZIA SYABNA ARDHANI</t>
  </si>
  <si>
    <t>HAFIDZA MUFIA HASNA</t>
  </si>
  <si>
    <t>HAFIZ NICO HAMIZAN</t>
  </si>
  <si>
    <t>HARSAH ASHIHAH</t>
  </si>
  <si>
    <t>KALKY FAIZ AL ARKHAN</t>
  </si>
  <si>
    <t>KEISHA AYUDIA RAMADHANI</t>
  </si>
  <si>
    <t>KEVIN MAHARDIKA</t>
  </si>
  <si>
    <t>LANGLANG PURI HANDAYANI</t>
  </si>
  <si>
    <t>MIQAILA AINI RAMADHAN</t>
  </si>
  <si>
    <t>MUHAMAD AL AYYUBI</t>
  </si>
  <si>
    <t>MUHAMMAD FACHRI WASITO</t>
  </si>
  <si>
    <t>MUHAMMAD MUSLIM MUTOHARI</t>
  </si>
  <si>
    <t>NAUFAL GIBRAN AHMAD RAMADHAN</t>
  </si>
  <si>
    <t>RAFA AKBARISTIYADI</t>
  </si>
  <si>
    <t>RASHEL KHEYRA CHOVIVI</t>
  </si>
  <si>
    <t>SALSABILA MAR'ATUS SOLEHAH</t>
  </si>
  <si>
    <t>SHAKILA ZALFA ALNAIRA</t>
  </si>
  <si>
    <t>: III (Tiga) A</t>
  </si>
  <si>
    <t>: III (Tiga) B</t>
  </si>
  <si>
    <t>ADIVA ARSYILA GHANIYAH</t>
  </si>
  <si>
    <t>ARVINO NAZRIL RASHAAD</t>
  </si>
  <si>
    <t>THALITA QIANA NUR AULIA</t>
  </si>
  <si>
    <t>CATATAN :</t>
  </si>
  <si>
    <t>FAIREL ATHARIZ KHALIF</t>
  </si>
  <si>
    <t>MOCHAMAD DAI YUSUF</t>
  </si>
  <si>
    <t>AKHTAR SAKHA ANJAR SETIAWAN</t>
  </si>
  <si>
    <t>ALVINO RAFANDRA ARSYAD</t>
  </si>
  <si>
    <t>ANTARIKSA PUTRA SENOPATI</t>
  </si>
  <si>
    <t>ASHALINA YUMNAA NALADIFA</t>
  </si>
  <si>
    <t>ATHALLA ZAFRAN AL HUSSEIN</t>
  </si>
  <si>
    <t>ATHARVA SHAQUEL MARWA</t>
  </si>
  <si>
    <t>AZEMA HAFIZH PRADIPTA</t>
  </si>
  <si>
    <t>AZRIL RAID RIYADI</t>
  </si>
  <si>
    <t>AZRINA PUTRI NAZLA</t>
  </si>
  <si>
    <t>CAHAYU NASYWA KINANTHI</t>
  </si>
  <si>
    <t>DEANDRA YUMNA ALMAHYRA</t>
  </si>
  <si>
    <t>FAEYZA FARZAN SHAKIEL</t>
  </si>
  <si>
    <t>FAHMI ABIL ALFARIZQI</t>
  </si>
  <si>
    <t>FAIZ HANAN PRIATNA</t>
  </si>
  <si>
    <t>FERDI ALSYAZANI RAFFASYA ALVARENDRA</t>
  </si>
  <si>
    <t>GHIBRAN ARFAN RIZKI</t>
  </si>
  <si>
    <t>MUHAMMAD MAULANA AL-FATIH</t>
  </si>
  <si>
    <t>NUHA PUTRI QONITA</t>
  </si>
  <si>
    <t>NUMA ADZ TSABITAH HIDAYAT</t>
  </si>
  <si>
    <t>RAFFASYAH MUHAMMAD ARFAN</t>
  </si>
  <si>
    <t>SHABIRA HANIFFATUL HIDAYAH</t>
  </si>
  <si>
    <t>SYAFIYAH RESPATI</t>
  </si>
  <si>
    <t>SYAHINAZ IRAM BILAL WIBOWO</t>
  </si>
  <si>
    <t>SYARIFAH AINI AL-MUHYI</t>
  </si>
  <si>
    <t>TAMASHII HADI GIYATSA PUTRA</t>
  </si>
  <si>
    <t>SAAD IBNU MUSLIM</t>
  </si>
  <si>
    <t>ANALISIS SUMATIF TENGAH SEMESTER GANJIL (STS1)</t>
  </si>
  <si>
    <t>TAHUN PELAJARAN 2025-2026</t>
  </si>
  <si>
    <t>Guru Kelas / Guru Bidang</t>
  </si>
  <si>
    <t>Tangerang, ......... Oktober 2025</t>
  </si>
  <si>
    <t>ABIZARD ALIANDRA ROXSANO</t>
  </si>
  <si>
    <t>ADZRA IZZATUNNISA</t>
  </si>
  <si>
    <t>AKHTAR SHAKIEL PRAMAYADI</t>
  </si>
  <si>
    <t>ALKA RIZKY RAMADHAN</t>
  </si>
  <si>
    <t>ALTHAF MALIK ABRISAM</t>
  </si>
  <si>
    <t>ATHALLA KEMAL TSAQIIF</t>
  </si>
  <si>
    <t>AZKA AKHYAR RABBANI</t>
  </si>
  <si>
    <t>EFRAND AIRLANGGA DHARMAWAN</t>
  </si>
  <si>
    <t>FAIQAH DAVINA IBRAHIM</t>
  </si>
  <si>
    <t>FATHAN AWFAR RAMADHAN</t>
  </si>
  <si>
    <t>FATIH AARYASH ALFARISQY</t>
  </si>
  <si>
    <t>GALANG AAHVADIRA PRANOTO</t>
  </si>
  <si>
    <t>GINA RAUDHOTUL JANNAH</t>
  </si>
  <si>
    <t>HANINDHIYA KHADIJAH</t>
  </si>
  <si>
    <t>KAMILA SAFA CAHYONO</t>
  </si>
  <si>
    <t>KEANU ZAIN AL ARKHAN</t>
  </si>
  <si>
    <t>KEYSHA ANNAZID</t>
  </si>
  <si>
    <t>MAUZA KHAYARA SHANUM</t>
  </si>
  <si>
    <t>MOHAMMAD REYSHADRHAFA ROSWAN</t>
  </si>
  <si>
    <t>MUHAMMAD ARSYAD MAULANA</t>
  </si>
  <si>
    <t>MUHAMMAD FATIH ISLAH HANAFI</t>
  </si>
  <si>
    <t>MUHAMMAD MAULANA IBRAHIM</t>
  </si>
  <si>
    <t>MUHAMMAD RASYID AL AUSY</t>
  </si>
  <si>
    <t>QIANA ALIFIYA HASAN</t>
  </si>
  <si>
    <t>RANIA SHEZA ALMAHYRA</t>
  </si>
  <si>
    <t>SITI CHOIRUNISA</t>
  </si>
  <si>
    <t>ACNO LOGIA</t>
  </si>
  <si>
    <t>ADELIA YUSDITIAWAN NADA</t>
  </si>
  <si>
    <t>ADZKIYA NUR FAIZAH</t>
  </si>
  <si>
    <t>ALMAIRA ANNASYA</t>
  </si>
  <si>
    <t>ALZHAFRAN PUTRA NASRULLAH</t>
  </si>
  <si>
    <t>ANAM FAHRI IBRAHIM</t>
  </si>
  <si>
    <t>AQILLA DEFRI MUHIB</t>
  </si>
  <si>
    <t>AZQIARA RAUDHAH AKBAR</t>
  </si>
  <si>
    <t>BUNGA NAURA MAULIDA</t>
  </si>
  <si>
    <t>HASBY AZHARI AL FATIH</t>
  </si>
  <si>
    <t>HAYFAH NUR PUTRI HIDAYAT</t>
  </si>
  <si>
    <t>HIFZA SHAKILATUROHMAH AYUNINDYA</t>
  </si>
  <si>
    <t>KHABIB AIDAN AL KAHFI</t>
  </si>
  <si>
    <t>LABIB ABBASY NAUSHAD</t>
  </si>
  <si>
    <t>MUHAMMAD AL HAFIDZ RAHARJO</t>
  </si>
  <si>
    <t>MUHAMMAD AZZAM RAMADHAN</t>
  </si>
  <si>
    <t>MUHAMMAD EL FAREL NOVARITO</t>
  </si>
  <si>
    <t>MUHAMMAD HAMZI SYAHMI</t>
  </si>
  <si>
    <t>MUHAMMAD IBNU FAJAR</t>
  </si>
  <si>
    <t>MUHAMMAD MIZYAN WIBOWO</t>
  </si>
  <si>
    <t>MUHAMMAD YUSUF ALFATIH</t>
  </si>
  <si>
    <t>NAILA ZYVA APRIANI</t>
  </si>
  <si>
    <t>SOFIE DWI RAHARJO</t>
  </si>
  <si>
    <t>SYABIEL ARGA NIZAR</t>
  </si>
  <si>
    <t>VEVE LATIFA GHAZIYAH</t>
  </si>
  <si>
    <t>ZUNAIRA KANZA</t>
  </si>
  <si>
    <t>* NILAI AKHIR DIBAGI JUMLAH SOAL</t>
  </si>
  <si>
    <t>ZIANISA RAMADHANI MUHAJIR</t>
  </si>
  <si>
    <t>MUHAMMAD AZZAM KHALIF</t>
  </si>
  <si>
    <t>: II (Dua) C</t>
  </si>
  <si>
    <t>DINESHCARA NEHA KANEISHIA</t>
  </si>
  <si>
    <t>ATHALLA AL FARIQ</t>
  </si>
  <si>
    <t>UNGGUL HADIWIJAYA LUMITU</t>
  </si>
  <si>
    <r>
      <t xml:space="preserve">* UNTUK WALAS LANGSUNG COPY </t>
    </r>
    <r>
      <rPr>
        <b/>
        <i/>
        <sz val="11"/>
        <color theme="1"/>
        <rFont val="Cambria"/>
        <family val="1"/>
      </rPr>
      <t>SHEET</t>
    </r>
    <r>
      <rPr>
        <b/>
        <sz val="11"/>
        <color theme="1"/>
        <rFont val="Cambria"/>
        <family val="1"/>
      </rPr>
      <t xml:space="preserve"> KELAS MASING-MASING SAJA KE DALAM DOKUMEN BARU</t>
    </r>
  </si>
  <si>
    <t>POIN PENILAIAN BAGIAN C : MENJODOHKAN ATAU ESSAY</t>
  </si>
  <si>
    <t>* 0,5 JIKA SALAH</t>
  </si>
  <si>
    <t>* 1 JIKA KURANG TEPAT</t>
  </si>
  <si>
    <t>*2 JIKA BENAR</t>
  </si>
  <si>
    <t>Pencapaian KKTP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</si>
</sst>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mbria"/>
      <family val="1"/>
    </font>
    <font>
      <b/>
      <u/>
      <sz val="12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u/>
      <sz val="12"/>
      <color theme="1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b/>
      <sz val="11"/>
      <color theme="1"/>
      <name val="Cambria"/>
      <family val="1"/>
    </font>
    <font>
      <b/>
      <i/>
      <sz val="11"/>
      <color theme="1"/>
      <name val="Cambria"/>
      <family val="1"/>
    </font>
    <font>
      <sz val="11"/>
      <name val="Cambria"/>
      <family val="1"/>
      <charset val="1"/>
    </font>
    <font>
      <sz val="8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4" fillId="0" borderId="1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2" borderId="6" xfId="1" applyFont="1" applyFill="1" applyBorder="1" applyAlignment="1">
      <alignment vertical="center"/>
    </xf>
    <xf numFmtId="0" fontId="7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2" fillId="0" borderId="0" xfId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" fontId="4" fillId="0" borderId="0" xfId="3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6" xfId="1" quotePrefix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" fillId="2" borderId="6" xfId="1" applyFont="1" applyFill="1" applyBorder="1" applyAlignment="1">
      <alignment vertical="center"/>
    </xf>
    <xf numFmtId="1" fontId="10" fillId="0" borderId="6" xfId="3" applyNumberFormat="1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1" fontId="1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0" fontId="12" fillId="0" borderId="9" xfId="0" applyFont="1" applyBorder="1" applyAlignment="1">
      <alignment vertical="top" wrapText="1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top" wrapText="1"/>
    </xf>
    <xf numFmtId="0" fontId="8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5">
    <cellStyle name="Normal" xfId="0" builtinId="0"/>
    <cellStyle name="Normal 2" xfId="4" xr:uid="{E172C9C7-C3F3-4B46-87AD-086737E3EF4A}"/>
    <cellStyle name="Normal 3" xfId="1" xr:uid="{72546278-1A90-4B10-9A42-F8C91616D20B}"/>
    <cellStyle name="Normal 4" xfId="2" xr:uid="{5F0BF68B-F316-4D6F-95C3-5202D57D4D21}"/>
    <cellStyle name="Percent 2" xfId="3" xr:uid="{24FA2CCF-469A-457F-ACCC-4236A5638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A593-239B-4594-AB43-9B475F8E49B8}">
  <sheetPr>
    <pageSetUpPr fitToPage="1"/>
  </sheetPr>
  <dimension ref="A1:AO46"/>
  <sheetViews>
    <sheetView zoomScale="55" zoomScaleNormal="55" workbookViewId="0">
      <selection activeCell="AO7" sqref="AO7"/>
    </sheetView>
  </sheetViews>
  <sheetFormatPr defaultColWidth="9.109375" defaultRowHeight="13.8" x14ac:dyDescent="0.3"/>
  <cols>
    <col min="1" max="1" width="4.44140625" style="1" customWidth="1"/>
    <col min="2" max="2" width="45.77734375" style="1" bestFit="1" customWidth="1"/>
    <col min="3" max="3" width="4.6640625" style="1" customWidth="1"/>
    <col min="4" max="22" width="3.6640625" style="1" customWidth="1"/>
    <col min="23" max="23" width="9.109375" style="13"/>
    <col min="24" max="28" width="4.6640625" style="1" customWidth="1"/>
    <col min="29" max="29" width="9.109375" style="13"/>
    <col min="30" max="34" width="4.6640625" style="1" customWidth="1"/>
    <col min="35" max="36" width="9.109375" style="1"/>
    <col min="37" max="37" width="11.21875" style="1" customWidth="1"/>
    <col min="38" max="40" width="9.109375" style="1"/>
    <col min="41" max="41" width="87.5546875" style="1" bestFit="1" customWidth="1"/>
    <col min="42" max="16384" width="9.109375" style="1"/>
  </cols>
  <sheetData>
    <row r="1" spans="1:41" ht="20.100000000000001" customHeight="1" x14ac:dyDescent="0.3">
      <c r="A1" s="54" t="s">
        <v>212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41" ht="20.100000000000001" customHeight="1" x14ac:dyDescent="0.3">
      <c r="A2" s="55" t="s">
        <v>213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1" ht="20.100000000000001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  <c r="X3" s="10"/>
      <c r="Y3" s="10"/>
      <c r="Z3" s="10"/>
      <c r="AA3" s="10"/>
      <c r="AB3" s="10"/>
      <c r="AC3" s="19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ht="20.100000000000001" customHeight="1" x14ac:dyDescent="0.3">
      <c r="A4" s="2"/>
      <c r="B4" s="9" t="s">
        <v>0</v>
      </c>
      <c r="C4" s="2"/>
      <c r="D4" s="9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  <c r="X4" s="10"/>
      <c r="Y4" s="10"/>
      <c r="Z4" s="10"/>
      <c r="AA4" s="10"/>
      <c r="AB4" s="10"/>
      <c r="AC4" s="19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20.100000000000001" customHeight="1" x14ac:dyDescent="0.3">
      <c r="A5" s="2"/>
      <c r="B5" s="9" t="s">
        <v>2</v>
      </c>
      <c r="C5" s="2"/>
      <c r="D5" s="11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  <c r="X5" s="10"/>
      <c r="Y5" s="10"/>
      <c r="Z5" s="10"/>
      <c r="AA5" s="10"/>
      <c r="AB5" s="10"/>
      <c r="AC5" s="19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1" ht="20.100000000000001" customHeight="1" x14ac:dyDescent="0.3">
      <c r="A6" s="2"/>
      <c r="B6" s="9" t="s">
        <v>3</v>
      </c>
      <c r="C6" s="2"/>
      <c r="D6" s="11" t="s">
        <v>41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  <c r="X6" s="10"/>
      <c r="Y6" s="10"/>
      <c r="Z6" s="10"/>
      <c r="AA6" s="10"/>
      <c r="AB6" s="10"/>
      <c r="AC6" s="19"/>
      <c r="AD6" s="2"/>
      <c r="AE6" s="2"/>
      <c r="AF6" s="2"/>
      <c r="AG6" s="2"/>
      <c r="AH6" s="2"/>
      <c r="AI6" s="2"/>
      <c r="AJ6" s="2"/>
      <c r="AK6" s="2"/>
      <c r="AL6" s="2"/>
      <c r="AM6" s="2"/>
    </row>
    <row r="8" spans="1:41" ht="30" customHeight="1" x14ac:dyDescent="0.3">
      <c r="A8" s="60" t="s">
        <v>4</v>
      </c>
      <c r="B8" s="60" t="s">
        <v>5</v>
      </c>
      <c r="C8" s="62" t="s">
        <v>6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3" t="s">
        <v>7</v>
      </c>
      <c r="X8" s="62" t="s">
        <v>8</v>
      </c>
      <c r="Y8" s="63"/>
      <c r="Z8" s="63"/>
      <c r="AA8" s="63"/>
      <c r="AB8" s="63"/>
      <c r="AC8" s="3" t="s">
        <v>7</v>
      </c>
      <c r="AD8" s="62" t="s">
        <v>42</v>
      </c>
      <c r="AE8" s="63"/>
      <c r="AF8" s="63"/>
      <c r="AG8" s="63"/>
      <c r="AH8" s="64"/>
      <c r="AI8" s="3" t="s">
        <v>7</v>
      </c>
      <c r="AJ8" s="3" t="s">
        <v>9</v>
      </c>
      <c r="AK8" s="56" t="s">
        <v>10</v>
      </c>
      <c r="AL8" s="58" t="s">
        <v>280</v>
      </c>
      <c r="AM8" s="59"/>
    </row>
    <row r="9" spans="1:41" ht="20.100000000000001" customHeight="1" x14ac:dyDescent="0.3">
      <c r="A9" s="61"/>
      <c r="B9" s="61"/>
      <c r="C9" s="30" t="s">
        <v>11</v>
      </c>
      <c r="D9" s="30" t="s">
        <v>12</v>
      </c>
      <c r="E9" s="30" t="s">
        <v>13</v>
      </c>
      <c r="F9" s="30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30" t="s">
        <v>21</v>
      </c>
      <c r="N9" s="30" t="s">
        <v>22</v>
      </c>
      <c r="O9" s="30" t="s">
        <v>23</v>
      </c>
      <c r="P9" s="30" t="s">
        <v>24</v>
      </c>
      <c r="Q9" s="30" t="s">
        <v>25</v>
      </c>
      <c r="R9" s="30" t="s">
        <v>26</v>
      </c>
      <c r="S9" s="30" t="s">
        <v>27</v>
      </c>
      <c r="T9" s="30" t="s">
        <v>28</v>
      </c>
      <c r="U9" s="30" t="s">
        <v>29</v>
      </c>
      <c r="V9" s="30" t="s">
        <v>30</v>
      </c>
      <c r="W9" s="5" t="s">
        <v>31</v>
      </c>
      <c r="X9" s="6">
        <v>1</v>
      </c>
      <c r="Y9" s="6">
        <v>2</v>
      </c>
      <c r="Z9" s="6">
        <v>3</v>
      </c>
      <c r="AA9" s="6">
        <v>4</v>
      </c>
      <c r="AB9" s="6">
        <v>5</v>
      </c>
      <c r="AC9" s="5" t="s">
        <v>31</v>
      </c>
      <c r="AD9" s="6">
        <v>1</v>
      </c>
      <c r="AE9" s="6">
        <v>2</v>
      </c>
      <c r="AF9" s="6">
        <v>3</v>
      </c>
      <c r="AG9" s="6">
        <v>4</v>
      </c>
      <c r="AH9" s="6">
        <v>5</v>
      </c>
      <c r="AI9" s="5" t="s">
        <v>32</v>
      </c>
      <c r="AJ9" s="4"/>
      <c r="AK9" s="57"/>
      <c r="AL9" s="7" t="s">
        <v>33</v>
      </c>
      <c r="AM9" s="7" t="s">
        <v>34</v>
      </c>
    </row>
    <row r="10" spans="1:41" ht="6.9" customHeight="1" thickBot="1" x14ac:dyDescent="0.35">
      <c r="A10" s="8"/>
      <c r="B10" s="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15"/>
      <c r="X10" s="8"/>
      <c r="Y10" s="8"/>
      <c r="Z10" s="8"/>
      <c r="AA10" s="8"/>
      <c r="AB10" s="8"/>
      <c r="AC10" s="15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41" ht="21.9" customHeight="1" thickTop="1" x14ac:dyDescent="0.3">
      <c r="A11" s="14">
        <v>1</v>
      </c>
      <c r="B11" s="43" t="s">
        <v>186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f t="shared" ref="W11:W12" si="0">SUM(C11:V11)</f>
        <v>20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f>SUM(X11:AB11)</f>
        <v>5</v>
      </c>
      <c r="AD11" s="14">
        <v>0.5</v>
      </c>
      <c r="AE11" s="14">
        <v>1</v>
      </c>
      <c r="AF11" s="14">
        <v>2</v>
      </c>
      <c r="AG11" s="14">
        <v>0.5</v>
      </c>
      <c r="AH11" s="14">
        <v>1</v>
      </c>
      <c r="AI11" s="14">
        <f>SUM(AD11:AH11)*1</f>
        <v>5</v>
      </c>
      <c r="AJ11" s="14">
        <f>SUM(W11,AC11,AI11)</f>
        <v>30</v>
      </c>
      <c r="AK11" s="46">
        <f>AJ11*100/35</f>
        <v>85.714285714285708</v>
      </c>
      <c r="AL11" s="37">
        <f>IF(AK11&gt;70,1," ")</f>
        <v>1</v>
      </c>
      <c r="AM11" s="37" t="str">
        <f>IF(AK11&lt;70,1," ")</f>
        <v xml:space="preserve"> </v>
      </c>
      <c r="AO11" s="41" t="s">
        <v>183</v>
      </c>
    </row>
    <row r="12" spans="1:41" ht="21.9" customHeight="1" x14ac:dyDescent="0.3">
      <c r="A12" s="14">
        <v>2</v>
      </c>
      <c r="B12" s="34" t="s">
        <v>187</v>
      </c>
      <c r="C12" s="14">
        <v>1</v>
      </c>
      <c r="D12" s="14">
        <v>0</v>
      </c>
      <c r="E12" s="14">
        <v>1</v>
      </c>
      <c r="F12" s="14">
        <v>0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f t="shared" si="0"/>
        <v>18</v>
      </c>
      <c r="X12" s="14">
        <v>0</v>
      </c>
      <c r="Y12" s="14">
        <v>0</v>
      </c>
      <c r="Z12" s="14">
        <v>0</v>
      </c>
      <c r="AA12" s="14">
        <v>0</v>
      </c>
      <c r="AB12" s="14">
        <v>1</v>
      </c>
      <c r="AC12" s="14">
        <f t="shared" ref="AC12" si="1">SUM(X12:AB12)</f>
        <v>1</v>
      </c>
      <c r="AD12" s="14">
        <v>1</v>
      </c>
      <c r="AE12" s="14">
        <v>1</v>
      </c>
      <c r="AF12" s="14">
        <v>1</v>
      </c>
      <c r="AG12" s="14">
        <v>1</v>
      </c>
      <c r="AH12" s="14">
        <v>2</v>
      </c>
      <c r="AI12" s="14">
        <f>SUM(AD12:AH12)*1</f>
        <v>6</v>
      </c>
      <c r="AJ12" s="14">
        <f t="shared" ref="AJ12:AJ36" si="2">SUM(W12,AC12,AI12)</f>
        <v>25</v>
      </c>
      <c r="AK12" s="46">
        <f t="shared" ref="AK12:AK36" si="3">AJ12*100/35</f>
        <v>71.428571428571431</v>
      </c>
      <c r="AL12" s="37">
        <f t="shared" ref="AL12:AL36" si="4">IF(AK12&gt;70,1," ")</f>
        <v>1</v>
      </c>
      <c r="AM12" s="37" t="str">
        <f t="shared" ref="AM12:AM36" si="5">IF(AK12&lt;70,1," ")</f>
        <v xml:space="preserve"> </v>
      </c>
      <c r="AO12" s="42" t="s">
        <v>268</v>
      </c>
    </row>
    <row r="13" spans="1:41" ht="21.9" customHeight="1" x14ac:dyDescent="0.3">
      <c r="A13" s="14">
        <v>3</v>
      </c>
      <c r="B13" s="44" t="s">
        <v>188</v>
      </c>
      <c r="C13" s="14">
        <v>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>
        <f t="shared" ref="W13:W36" si="6">SUM(C13:V13)</f>
        <v>1</v>
      </c>
      <c r="X13" s="14"/>
      <c r="Y13" s="14"/>
      <c r="Z13" s="14"/>
      <c r="AA13" s="14"/>
      <c r="AB13" s="14"/>
      <c r="AC13" s="14">
        <f t="shared" ref="AC13:AC36" si="7">SUM(X13:AB13)</f>
        <v>0</v>
      </c>
      <c r="AD13" s="14"/>
      <c r="AE13" s="14"/>
      <c r="AF13" s="14"/>
      <c r="AG13" s="14"/>
      <c r="AH13" s="14"/>
      <c r="AI13" s="14">
        <f t="shared" ref="AI13:AI36" si="8">SUM(AD13:AH13)*1</f>
        <v>0</v>
      </c>
      <c r="AJ13" s="14">
        <f t="shared" si="2"/>
        <v>1</v>
      </c>
      <c r="AK13" s="46">
        <f t="shared" si="3"/>
        <v>2.8571428571428572</v>
      </c>
      <c r="AL13" s="37" t="str">
        <f t="shared" si="4"/>
        <v xml:space="preserve"> </v>
      </c>
      <c r="AM13" s="37">
        <f t="shared" si="5"/>
        <v>1</v>
      </c>
      <c r="AO13" s="53" t="s">
        <v>275</v>
      </c>
    </row>
    <row r="14" spans="1:41" ht="21.9" customHeight="1" x14ac:dyDescent="0.3">
      <c r="A14" s="14">
        <v>4</v>
      </c>
      <c r="B14" s="34" t="s">
        <v>189</v>
      </c>
      <c r="C14" s="14">
        <v>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>
        <f t="shared" si="6"/>
        <v>1</v>
      </c>
      <c r="X14" s="14"/>
      <c r="Y14" s="14"/>
      <c r="Z14" s="14"/>
      <c r="AA14" s="14"/>
      <c r="AB14" s="14"/>
      <c r="AC14" s="14">
        <f t="shared" si="7"/>
        <v>0</v>
      </c>
      <c r="AD14" s="14"/>
      <c r="AE14" s="14"/>
      <c r="AF14" s="14"/>
      <c r="AG14" s="14"/>
      <c r="AH14" s="14"/>
      <c r="AI14" s="14">
        <f t="shared" si="8"/>
        <v>0</v>
      </c>
      <c r="AJ14" s="14">
        <f t="shared" si="2"/>
        <v>1</v>
      </c>
      <c r="AK14" s="46">
        <f t="shared" si="3"/>
        <v>2.8571428571428572</v>
      </c>
      <c r="AL14" s="37" t="str">
        <f t="shared" si="4"/>
        <v xml:space="preserve"> </v>
      </c>
      <c r="AM14" s="37">
        <f t="shared" si="5"/>
        <v>1</v>
      </c>
      <c r="AO14" s="53"/>
    </row>
    <row r="15" spans="1:41" ht="21.9" customHeight="1" x14ac:dyDescent="0.3">
      <c r="A15" s="14">
        <v>5</v>
      </c>
      <c r="B15" s="34" t="s">
        <v>190</v>
      </c>
      <c r="C15" s="14">
        <v>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>
        <f t="shared" si="6"/>
        <v>1</v>
      </c>
      <c r="X15" s="14"/>
      <c r="Y15" s="14"/>
      <c r="Z15" s="14"/>
      <c r="AA15" s="14"/>
      <c r="AB15" s="14"/>
      <c r="AC15" s="14">
        <f t="shared" si="7"/>
        <v>0</v>
      </c>
      <c r="AD15" s="14"/>
      <c r="AE15" s="14"/>
      <c r="AF15" s="14"/>
      <c r="AG15" s="14"/>
      <c r="AH15" s="14"/>
      <c r="AI15" s="14">
        <f t="shared" si="8"/>
        <v>0</v>
      </c>
      <c r="AJ15" s="14">
        <f t="shared" si="2"/>
        <v>1</v>
      </c>
      <c r="AK15" s="46">
        <f t="shared" si="3"/>
        <v>2.8571428571428572</v>
      </c>
      <c r="AL15" s="37" t="str">
        <f t="shared" si="4"/>
        <v xml:space="preserve"> </v>
      </c>
      <c r="AM15" s="37">
        <f t="shared" si="5"/>
        <v>1</v>
      </c>
      <c r="AO15" s="50" t="s">
        <v>276</v>
      </c>
    </row>
    <row r="16" spans="1:41" ht="21.9" customHeight="1" x14ac:dyDescent="0.3">
      <c r="A16" s="14">
        <v>6</v>
      </c>
      <c r="B16" s="34" t="s">
        <v>191</v>
      </c>
      <c r="C16" s="14">
        <v>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>
        <f t="shared" si="6"/>
        <v>1</v>
      </c>
      <c r="X16" s="14"/>
      <c r="Y16" s="14"/>
      <c r="Z16" s="14"/>
      <c r="AA16" s="14"/>
      <c r="AB16" s="14"/>
      <c r="AC16" s="14">
        <f t="shared" si="7"/>
        <v>0</v>
      </c>
      <c r="AD16" s="14"/>
      <c r="AE16" s="14"/>
      <c r="AF16" s="14"/>
      <c r="AG16" s="14"/>
      <c r="AH16" s="14"/>
      <c r="AI16" s="14">
        <f t="shared" si="8"/>
        <v>0</v>
      </c>
      <c r="AJ16" s="14">
        <f t="shared" si="2"/>
        <v>1</v>
      </c>
      <c r="AK16" s="46">
        <f t="shared" si="3"/>
        <v>2.8571428571428572</v>
      </c>
      <c r="AL16" s="37" t="str">
        <f t="shared" si="4"/>
        <v xml:space="preserve"> </v>
      </c>
      <c r="AM16" s="37">
        <f t="shared" si="5"/>
        <v>1</v>
      </c>
      <c r="AO16" s="51" t="s">
        <v>277</v>
      </c>
    </row>
    <row r="17" spans="1:41" ht="21.9" customHeight="1" x14ac:dyDescent="0.3">
      <c r="A17" s="14">
        <v>7</v>
      </c>
      <c r="B17" s="34" t="s">
        <v>192</v>
      </c>
      <c r="C17" s="14">
        <v>1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>
        <f t="shared" si="6"/>
        <v>1</v>
      </c>
      <c r="X17" s="14"/>
      <c r="Y17" s="14"/>
      <c r="Z17" s="14"/>
      <c r="AA17" s="14"/>
      <c r="AB17" s="14"/>
      <c r="AC17" s="14">
        <f t="shared" si="7"/>
        <v>0</v>
      </c>
      <c r="AD17" s="14"/>
      <c r="AE17" s="14"/>
      <c r="AF17" s="14"/>
      <c r="AG17" s="14"/>
      <c r="AH17" s="14"/>
      <c r="AI17" s="14">
        <f t="shared" si="8"/>
        <v>0</v>
      </c>
      <c r="AJ17" s="14">
        <f t="shared" si="2"/>
        <v>1</v>
      </c>
      <c r="AK17" s="46">
        <f t="shared" si="3"/>
        <v>2.8571428571428572</v>
      </c>
      <c r="AL17" s="37" t="str">
        <f t="shared" si="4"/>
        <v xml:space="preserve"> </v>
      </c>
      <c r="AM17" s="37">
        <f t="shared" si="5"/>
        <v>1</v>
      </c>
      <c r="AO17" s="51" t="s">
        <v>278</v>
      </c>
    </row>
    <row r="18" spans="1:41" ht="21.9" customHeight="1" thickBot="1" x14ac:dyDescent="0.35">
      <c r="A18" s="14">
        <v>8</v>
      </c>
      <c r="B18" s="34" t="s">
        <v>193</v>
      </c>
      <c r="C18" s="14">
        <v>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>
        <f t="shared" si="6"/>
        <v>1</v>
      </c>
      <c r="X18" s="14"/>
      <c r="Y18" s="14"/>
      <c r="Z18" s="14"/>
      <c r="AA18" s="14"/>
      <c r="AB18" s="14"/>
      <c r="AC18" s="14">
        <f t="shared" si="7"/>
        <v>0</v>
      </c>
      <c r="AD18" s="14"/>
      <c r="AE18" s="14"/>
      <c r="AF18" s="14"/>
      <c r="AG18" s="14"/>
      <c r="AH18" s="14"/>
      <c r="AI18" s="14">
        <f t="shared" si="8"/>
        <v>0</v>
      </c>
      <c r="AJ18" s="14">
        <f t="shared" si="2"/>
        <v>1</v>
      </c>
      <c r="AK18" s="46">
        <f t="shared" si="3"/>
        <v>2.8571428571428572</v>
      </c>
      <c r="AL18" s="37" t="str">
        <f t="shared" si="4"/>
        <v xml:space="preserve"> </v>
      </c>
      <c r="AM18" s="37">
        <f t="shared" si="5"/>
        <v>1</v>
      </c>
      <c r="AO18" s="52" t="s">
        <v>279</v>
      </c>
    </row>
    <row r="19" spans="1:41" ht="21.9" customHeight="1" thickTop="1" x14ac:dyDescent="0.3">
      <c r="A19" s="14">
        <v>9</v>
      </c>
      <c r="B19" s="34" t="s">
        <v>194</v>
      </c>
      <c r="C19" s="14">
        <v>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>
        <f t="shared" si="6"/>
        <v>1</v>
      </c>
      <c r="X19" s="14"/>
      <c r="Y19" s="14"/>
      <c r="Z19" s="14"/>
      <c r="AA19" s="14"/>
      <c r="AB19" s="14"/>
      <c r="AC19" s="14">
        <f t="shared" si="7"/>
        <v>0</v>
      </c>
      <c r="AD19" s="14"/>
      <c r="AE19" s="14"/>
      <c r="AF19" s="14"/>
      <c r="AG19" s="14"/>
      <c r="AH19" s="14"/>
      <c r="AI19" s="14">
        <f t="shared" si="8"/>
        <v>0</v>
      </c>
      <c r="AJ19" s="14">
        <f t="shared" si="2"/>
        <v>1</v>
      </c>
      <c r="AK19" s="46">
        <f t="shared" si="3"/>
        <v>2.8571428571428572</v>
      </c>
      <c r="AL19" s="37" t="str">
        <f t="shared" si="4"/>
        <v xml:space="preserve"> </v>
      </c>
      <c r="AM19" s="37">
        <f t="shared" si="5"/>
        <v>1</v>
      </c>
    </row>
    <row r="20" spans="1:41" ht="21.9" customHeight="1" x14ac:dyDescent="0.3">
      <c r="A20" s="14">
        <v>10</v>
      </c>
      <c r="B20" s="34" t="s">
        <v>195</v>
      </c>
      <c r="C20" s="14">
        <v>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>
        <f t="shared" si="6"/>
        <v>1</v>
      </c>
      <c r="X20" s="14"/>
      <c r="Y20" s="14"/>
      <c r="Z20" s="14"/>
      <c r="AA20" s="14"/>
      <c r="AB20" s="14"/>
      <c r="AC20" s="14">
        <f t="shared" si="7"/>
        <v>0</v>
      </c>
      <c r="AD20" s="14"/>
      <c r="AE20" s="14"/>
      <c r="AF20" s="14"/>
      <c r="AG20" s="14"/>
      <c r="AH20" s="14"/>
      <c r="AI20" s="14">
        <f t="shared" si="8"/>
        <v>0</v>
      </c>
      <c r="AJ20" s="14">
        <f t="shared" si="2"/>
        <v>1</v>
      </c>
      <c r="AK20" s="46">
        <f t="shared" si="3"/>
        <v>2.8571428571428572</v>
      </c>
      <c r="AL20" s="37" t="str">
        <f t="shared" si="4"/>
        <v xml:space="preserve"> </v>
      </c>
      <c r="AM20" s="37">
        <f t="shared" si="5"/>
        <v>1</v>
      </c>
    </row>
    <row r="21" spans="1:41" ht="21.9" customHeight="1" x14ac:dyDescent="0.3">
      <c r="A21" s="14">
        <v>11</v>
      </c>
      <c r="B21" s="34" t="s">
        <v>196</v>
      </c>
      <c r="C21" s="14">
        <v>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>
        <f t="shared" si="6"/>
        <v>1</v>
      </c>
      <c r="X21" s="14"/>
      <c r="Y21" s="14"/>
      <c r="Z21" s="14"/>
      <c r="AA21" s="14"/>
      <c r="AB21" s="14"/>
      <c r="AC21" s="14">
        <f t="shared" si="7"/>
        <v>0</v>
      </c>
      <c r="AD21" s="14"/>
      <c r="AE21" s="14"/>
      <c r="AF21" s="14"/>
      <c r="AG21" s="14"/>
      <c r="AH21" s="14"/>
      <c r="AI21" s="14">
        <f t="shared" si="8"/>
        <v>0</v>
      </c>
      <c r="AJ21" s="14">
        <f t="shared" si="2"/>
        <v>1</v>
      </c>
      <c r="AK21" s="46">
        <f t="shared" si="3"/>
        <v>2.8571428571428572</v>
      </c>
      <c r="AL21" s="37" t="str">
        <f t="shared" si="4"/>
        <v xml:space="preserve"> </v>
      </c>
      <c r="AM21" s="37">
        <f t="shared" si="5"/>
        <v>1</v>
      </c>
    </row>
    <row r="22" spans="1:41" ht="21.9" customHeight="1" x14ac:dyDescent="0.3">
      <c r="A22" s="14">
        <v>12</v>
      </c>
      <c r="B22" s="34" t="s">
        <v>197</v>
      </c>
      <c r="C22" s="14">
        <v>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>
        <f t="shared" si="6"/>
        <v>1</v>
      </c>
      <c r="X22" s="14"/>
      <c r="Y22" s="14"/>
      <c r="Z22" s="14"/>
      <c r="AA22" s="14"/>
      <c r="AB22" s="14"/>
      <c r="AC22" s="14">
        <f t="shared" si="7"/>
        <v>0</v>
      </c>
      <c r="AD22" s="14"/>
      <c r="AE22" s="14"/>
      <c r="AF22" s="14"/>
      <c r="AG22" s="14"/>
      <c r="AH22" s="14"/>
      <c r="AI22" s="14">
        <f t="shared" si="8"/>
        <v>0</v>
      </c>
      <c r="AJ22" s="14">
        <f t="shared" si="2"/>
        <v>1</v>
      </c>
      <c r="AK22" s="46">
        <f t="shared" si="3"/>
        <v>2.8571428571428572</v>
      </c>
      <c r="AL22" s="37" t="str">
        <f t="shared" si="4"/>
        <v xml:space="preserve"> </v>
      </c>
      <c r="AM22" s="37">
        <f t="shared" si="5"/>
        <v>1</v>
      </c>
    </row>
    <row r="23" spans="1:41" ht="21.9" customHeight="1" x14ac:dyDescent="0.3">
      <c r="A23" s="14">
        <v>13</v>
      </c>
      <c r="B23" s="34" t="s">
        <v>198</v>
      </c>
      <c r="C23" s="14">
        <v>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>
        <f t="shared" si="6"/>
        <v>1</v>
      </c>
      <c r="X23" s="14"/>
      <c r="Y23" s="14"/>
      <c r="Z23" s="14"/>
      <c r="AA23" s="14"/>
      <c r="AB23" s="14"/>
      <c r="AC23" s="14">
        <f t="shared" si="7"/>
        <v>0</v>
      </c>
      <c r="AD23" s="14"/>
      <c r="AE23" s="14"/>
      <c r="AF23" s="14"/>
      <c r="AG23" s="14"/>
      <c r="AH23" s="14"/>
      <c r="AI23" s="14">
        <f t="shared" si="8"/>
        <v>0</v>
      </c>
      <c r="AJ23" s="14">
        <f t="shared" si="2"/>
        <v>1</v>
      </c>
      <c r="AK23" s="46">
        <f t="shared" si="3"/>
        <v>2.8571428571428572</v>
      </c>
      <c r="AL23" s="37" t="str">
        <f t="shared" si="4"/>
        <v xml:space="preserve"> </v>
      </c>
      <c r="AM23" s="37">
        <f t="shared" si="5"/>
        <v>1</v>
      </c>
    </row>
    <row r="24" spans="1:41" ht="21.9" customHeight="1" x14ac:dyDescent="0.3">
      <c r="A24" s="14">
        <v>14</v>
      </c>
      <c r="B24" s="34" t="s">
        <v>199</v>
      </c>
      <c r="C24" s="14">
        <v>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>
        <f t="shared" si="6"/>
        <v>1</v>
      </c>
      <c r="X24" s="14"/>
      <c r="Y24" s="14"/>
      <c r="Z24" s="14"/>
      <c r="AA24" s="14"/>
      <c r="AB24" s="14"/>
      <c r="AC24" s="14">
        <f t="shared" si="7"/>
        <v>0</v>
      </c>
      <c r="AD24" s="14"/>
      <c r="AE24" s="14"/>
      <c r="AF24" s="14"/>
      <c r="AG24" s="14"/>
      <c r="AH24" s="14"/>
      <c r="AI24" s="14">
        <f t="shared" si="8"/>
        <v>0</v>
      </c>
      <c r="AJ24" s="14">
        <f t="shared" si="2"/>
        <v>1</v>
      </c>
      <c r="AK24" s="46">
        <f t="shared" si="3"/>
        <v>2.8571428571428572</v>
      </c>
      <c r="AL24" s="37" t="str">
        <f t="shared" si="4"/>
        <v xml:space="preserve"> </v>
      </c>
      <c r="AM24" s="37">
        <f t="shared" si="5"/>
        <v>1</v>
      </c>
    </row>
    <row r="25" spans="1:41" ht="21.9" customHeight="1" x14ac:dyDescent="0.3">
      <c r="A25" s="14">
        <v>15</v>
      </c>
      <c r="B25" s="34" t="s">
        <v>200</v>
      </c>
      <c r="C25" s="14">
        <v>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>
        <f t="shared" si="6"/>
        <v>1</v>
      </c>
      <c r="X25" s="14"/>
      <c r="Y25" s="14"/>
      <c r="Z25" s="14"/>
      <c r="AA25" s="14"/>
      <c r="AB25" s="14"/>
      <c r="AC25" s="14">
        <f t="shared" si="7"/>
        <v>0</v>
      </c>
      <c r="AD25" s="14"/>
      <c r="AE25" s="14"/>
      <c r="AF25" s="14"/>
      <c r="AG25" s="14"/>
      <c r="AH25" s="14"/>
      <c r="AI25" s="14">
        <f t="shared" si="8"/>
        <v>0</v>
      </c>
      <c r="AJ25" s="14">
        <f t="shared" si="2"/>
        <v>1</v>
      </c>
      <c r="AK25" s="46">
        <f t="shared" si="3"/>
        <v>2.8571428571428572</v>
      </c>
      <c r="AL25" s="37" t="str">
        <f t="shared" si="4"/>
        <v xml:space="preserve"> </v>
      </c>
      <c r="AM25" s="37">
        <f t="shared" si="5"/>
        <v>1</v>
      </c>
    </row>
    <row r="26" spans="1:41" ht="21.9" customHeight="1" x14ac:dyDescent="0.3">
      <c r="A26" s="14">
        <v>16</v>
      </c>
      <c r="B26" s="34" t="s">
        <v>201</v>
      </c>
      <c r="C26" s="14">
        <v>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>
        <f t="shared" si="6"/>
        <v>1</v>
      </c>
      <c r="X26" s="14"/>
      <c r="Y26" s="14"/>
      <c r="Z26" s="14"/>
      <c r="AA26" s="14"/>
      <c r="AB26" s="14"/>
      <c r="AC26" s="14">
        <f t="shared" si="7"/>
        <v>0</v>
      </c>
      <c r="AD26" s="14"/>
      <c r="AE26" s="14"/>
      <c r="AF26" s="14"/>
      <c r="AG26" s="14"/>
      <c r="AH26" s="14"/>
      <c r="AI26" s="14">
        <f t="shared" si="8"/>
        <v>0</v>
      </c>
      <c r="AJ26" s="14">
        <f t="shared" si="2"/>
        <v>1</v>
      </c>
      <c r="AK26" s="46">
        <f t="shared" si="3"/>
        <v>2.8571428571428572</v>
      </c>
      <c r="AL26" s="37" t="str">
        <f t="shared" si="4"/>
        <v xml:space="preserve"> </v>
      </c>
      <c r="AM26" s="37">
        <f t="shared" si="5"/>
        <v>1</v>
      </c>
    </row>
    <row r="27" spans="1:41" ht="21.9" customHeight="1" x14ac:dyDescent="0.3">
      <c r="A27" s="14">
        <v>17</v>
      </c>
      <c r="B27" s="43" t="s">
        <v>202</v>
      </c>
      <c r="C27" s="14">
        <v>1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>
        <f t="shared" si="6"/>
        <v>1</v>
      </c>
      <c r="X27" s="14"/>
      <c r="Y27" s="14"/>
      <c r="Z27" s="14"/>
      <c r="AA27" s="14"/>
      <c r="AB27" s="14"/>
      <c r="AC27" s="14">
        <f t="shared" si="7"/>
        <v>0</v>
      </c>
      <c r="AD27" s="14"/>
      <c r="AE27" s="14"/>
      <c r="AF27" s="14"/>
      <c r="AG27" s="14"/>
      <c r="AH27" s="14"/>
      <c r="AI27" s="14">
        <f t="shared" si="8"/>
        <v>0</v>
      </c>
      <c r="AJ27" s="14">
        <f t="shared" si="2"/>
        <v>1</v>
      </c>
      <c r="AK27" s="46">
        <f t="shared" si="3"/>
        <v>2.8571428571428572</v>
      </c>
      <c r="AL27" s="37" t="str">
        <f t="shared" si="4"/>
        <v xml:space="preserve"> </v>
      </c>
      <c r="AM27" s="37">
        <f t="shared" si="5"/>
        <v>1</v>
      </c>
    </row>
    <row r="28" spans="1:41" ht="21.9" customHeight="1" x14ac:dyDescent="0.3">
      <c r="A28" s="14">
        <v>18</v>
      </c>
      <c r="B28" s="34" t="s">
        <v>203</v>
      </c>
      <c r="C28" s="14">
        <v>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>
        <f t="shared" si="6"/>
        <v>1</v>
      </c>
      <c r="X28" s="14"/>
      <c r="Y28" s="14"/>
      <c r="Z28" s="14"/>
      <c r="AA28" s="14"/>
      <c r="AB28" s="14"/>
      <c r="AC28" s="14">
        <f t="shared" si="7"/>
        <v>0</v>
      </c>
      <c r="AD28" s="14"/>
      <c r="AE28" s="14"/>
      <c r="AF28" s="14"/>
      <c r="AG28" s="14"/>
      <c r="AH28" s="14"/>
      <c r="AI28" s="14">
        <f t="shared" si="8"/>
        <v>0</v>
      </c>
      <c r="AJ28" s="14">
        <f t="shared" si="2"/>
        <v>1</v>
      </c>
      <c r="AK28" s="46">
        <f t="shared" si="3"/>
        <v>2.8571428571428572</v>
      </c>
      <c r="AL28" s="37" t="str">
        <f t="shared" si="4"/>
        <v xml:space="preserve"> </v>
      </c>
      <c r="AM28" s="37">
        <f t="shared" si="5"/>
        <v>1</v>
      </c>
    </row>
    <row r="29" spans="1:41" ht="21.9" customHeight="1" x14ac:dyDescent="0.3">
      <c r="A29" s="14">
        <v>19</v>
      </c>
      <c r="B29" s="34" t="s">
        <v>204</v>
      </c>
      <c r="C29" s="14">
        <v>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>
        <f t="shared" si="6"/>
        <v>1</v>
      </c>
      <c r="X29" s="14"/>
      <c r="Y29" s="14"/>
      <c r="Z29" s="14"/>
      <c r="AA29" s="14"/>
      <c r="AB29" s="14"/>
      <c r="AC29" s="14">
        <f t="shared" si="7"/>
        <v>0</v>
      </c>
      <c r="AD29" s="14"/>
      <c r="AE29" s="14"/>
      <c r="AF29" s="14"/>
      <c r="AG29" s="14"/>
      <c r="AH29" s="14"/>
      <c r="AI29" s="14">
        <f t="shared" si="8"/>
        <v>0</v>
      </c>
      <c r="AJ29" s="14">
        <f t="shared" si="2"/>
        <v>1</v>
      </c>
      <c r="AK29" s="46">
        <f t="shared" si="3"/>
        <v>2.8571428571428572</v>
      </c>
      <c r="AL29" s="37" t="str">
        <f t="shared" si="4"/>
        <v xml:space="preserve"> </v>
      </c>
      <c r="AM29" s="37">
        <f t="shared" si="5"/>
        <v>1</v>
      </c>
    </row>
    <row r="30" spans="1:41" ht="21.9" customHeight="1" x14ac:dyDescent="0.3">
      <c r="A30" s="14">
        <v>20</v>
      </c>
      <c r="B30" s="44" t="s">
        <v>205</v>
      </c>
      <c r="C30" s="14">
        <v>1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>
        <f t="shared" si="6"/>
        <v>1</v>
      </c>
      <c r="X30" s="14"/>
      <c r="Y30" s="14"/>
      <c r="Z30" s="14"/>
      <c r="AA30" s="14"/>
      <c r="AB30" s="14"/>
      <c r="AC30" s="14">
        <f t="shared" si="7"/>
        <v>0</v>
      </c>
      <c r="AD30" s="14"/>
      <c r="AE30" s="14"/>
      <c r="AF30" s="14"/>
      <c r="AG30" s="14"/>
      <c r="AH30" s="14"/>
      <c r="AI30" s="14">
        <f t="shared" si="8"/>
        <v>0</v>
      </c>
      <c r="AJ30" s="14">
        <f t="shared" si="2"/>
        <v>1</v>
      </c>
      <c r="AK30" s="46">
        <f t="shared" si="3"/>
        <v>2.8571428571428572</v>
      </c>
      <c r="AL30" s="37" t="str">
        <f t="shared" si="4"/>
        <v xml:space="preserve"> </v>
      </c>
      <c r="AM30" s="37">
        <f t="shared" si="5"/>
        <v>1</v>
      </c>
    </row>
    <row r="31" spans="1:41" ht="21.9" customHeight="1" x14ac:dyDescent="0.3">
      <c r="A31" s="14">
        <v>21</v>
      </c>
      <c r="B31" s="34" t="s">
        <v>211</v>
      </c>
      <c r="C31" s="14">
        <v>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>
        <f t="shared" si="6"/>
        <v>1</v>
      </c>
      <c r="X31" s="14"/>
      <c r="Y31" s="14"/>
      <c r="Z31" s="14"/>
      <c r="AA31" s="14"/>
      <c r="AB31" s="14"/>
      <c r="AC31" s="14">
        <f t="shared" si="7"/>
        <v>0</v>
      </c>
      <c r="AD31" s="14"/>
      <c r="AE31" s="14"/>
      <c r="AF31" s="14"/>
      <c r="AG31" s="14"/>
      <c r="AH31" s="14"/>
      <c r="AI31" s="14">
        <f t="shared" si="8"/>
        <v>0</v>
      </c>
      <c r="AJ31" s="14">
        <f t="shared" si="2"/>
        <v>1</v>
      </c>
      <c r="AK31" s="46">
        <f t="shared" si="3"/>
        <v>2.8571428571428572</v>
      </c>
      <c r="AL31" s="37" t="str">
        <f t="shared" si="4"/>
        <v xml:space="preserve"> </v>
      </c>
      <c r="AM31" s="37">
        <f t="shared" si="5"/>
        <v>1</v>
      </c>
    </row>
    <row r="32" spans="1:41" ht="21.9" customHeight="1" x14ac:dyDescent="0.3">
      <c r="A32" s="14">
        <v>22</v>
      </c>
      <c r="B32" s="43" t="s">
        <v>206</v>
      </c>
      <c r="C32" s="14">
        <v>1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>
        <f t="shared" si="6"/>
        <v>1</v>
      </c>
      <c r="X32" s="14"/>
      <c r="Y32" s="14"/>
      <c r="Z32" s="14"/>
      <c r="AA32" s="14"/>
      <c r="AB32" s="14"/>
      <c r="AC32" s="14">
        <f t="shared" si="7"/>
        <v>0</v>
      </c>
      <c r="AD32" s="14"/>
      <c r="AE32" s="14"/>
      <c r="AF32" s="14"/>
      <c r="AG32" s="14"/>
      <c r="AH32" s="14"/>
      <c r="AI32" s="14">
        <f t="shared" si="8"/>
        <v>0</v>
      </c>
      <c r="AJ32" s="14">
        <f t="shared" si="2"/>
        <v>1</v>
      </c>
      <c r="AK32" s="46">
        <f t="shared" si="3"/>
        <v>2.8571428571428572</v>
      </c>
      <c r="AL32" s="37" t="str">
        <f t="shared" si="4"/>
        <v xml:space="preserve"> </v>
      </c>
      <c r="AM32" s="37">
        <f t="shared" si="5"/>
        <v>1</v>
      </c>
    </row>
    <row r="33" spans="1:39" ht="21.9" customHeight="1" x14ac:dyDescent="0.3">
      <c r="A33" s="14">
        <v>23</v>
      </c>
      <c r="B33" s="34" t="s">
        <v>207</v>
      </c>
      <c r="C33" s="14">
        <v>1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>
        <f t="shared" si="6"/>
        <v>1</v>
      </c>
      <c r="X33" s="14"/>
      <c r="Y33" s="14"/>
      <c r="Z33" s="14"/>
      <c r="AA33" s="14"/>
      <c r="AB33" s="14"/>
      <c r="AC33" s="14">
        <f t="shared" si="7"/>
        <v>0</v>
      </c>
      <c r="AD33" s="14"/>
      <c r="AE33" s="14"/>
      <c r="AF33" s="14"/>
      <c r="AG33" s="14"/>
      <c r="AH33" s="14"/>
      <c r="AI33" s="14">
        <f t="shared" si="8"/>
        <v>0</v>
      </c>
      <c r="AJ33" s="14">
        <f t="shared" si="2"/>
        <v>1</v>
      </c>
      <c r="AK33" s="46">
        <f t="shared" si="3"/>
        <v>2.8571428571428572</v>
      </c>
      <c r="AL33" s="37" t="str">
        <f t="shared" si="4"/>
        <v xml:space="preserve"> </v>
      </c>
      <c r="AM33" s="37">
        <f t="shared" si="5"/>
        <v>1</v>
      </c>
    </row>
    <row r="34" spans="1:39" ht="21.9" customHeight="1" x14ac:dyDescent="0.3">
      <c r="A34" s="14">
        <v>24</v>
      </c>
      <c r="B34" s="34" t="s">
        <v>208</v>
      </c>
      <c r="C34" s="14">
        <v>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>
        <f t="shared" si="6"/>
        <v>1</v>
      </c>
      <c r="X34" s="14"/>
      <c r="Y34" s="14"/>
      <c r="Z34" s="14"/>
      <c r="AA34" s="14"/>
      <c r="AB34" s="14"/>
      <c r="AC34" s="14">
        <f t="shared" si="7"/>
        <v>0</v>
      </c>
      <c r="AD34" s="14"/>
      <c r="AE34" s="14"/>
      <c r="AF34" s="14"/>
      <c r="AG34" s="14"/>
      <c r="AH34" s="14"/>
      <c r="AI34" s="14">
        <f t="shared" si="8"/>
        <v>0</v>
      </c>
      <c r="AJ34" s="14">
        <f t="shared" si="2"/>
        <v>1</v>
      </c>
      <c r="AK34" s="46">
        <f t="shared" si="3"/>
        <v>2.8571428571428572</v>
      </c>
      <c r="AL34" s="37" t="str">
        <f t="shared" si="4"/>
        <v xml:space="preserve"> </v>
      </c>
      <c r="AM34" s="37">
        <f t="shared" si="5"/>
        <v>1</v>
      </c>
    </row>
    <row r="35" spans="1:39" ht="21.9" customHeight="1" x14ac:dyDescent="0.3">
      <c r="A35" s="14">
        <v>25</v>
      </c>
      <c r="B35" s="34" t="s">
        <v>209</v>
      </c>
      <c r="C35" s="14">
        <v>1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>
        <f t="shared" si="6"/>
        <v>1</v>
      </c>
      <c r="X35" s="14"/>
      <c r="Y35" s="14"/>
      <c r="Z35" s="14"/>
      <c r="AA35" s="14"/>
      <c r="AB35" s="14"/>
      <c r="AC35" s="14">
        <f t="shared" si="7"/>
        <v>0</v>
      </c>
      <c r="AD35" s="14"/>
      <c r="AE35" s="14"/>
      <c r="AF35" s="14"/>
      <c r="AG35" s="14"/>
      <c r="AH35" s="14"/>
      <c r="AI35" s="14">
        <f t="shared" si="8"/>
        <v>0</v>
      </c>
      <c r="AJ35" s="14">
        <f t="shared" si="2"/>
        <v>1</v>
      </c>
      <c r="AK35" s="46">
        <f t="shared" si="3"/>
        <v>2.8571428571428572</v>
      </c>
      <c r="AL35" s="37"/>
      <c r="AM35" s="37">
        <f t="shared" si="5"/>
        <v>1</v>
      </c>
    </row>
    <row r="36" spans="1:39" ht="21.9" customHeight="1" x14ac:dyDescent="0.3">
      <c r="A36" s="14">
        <v>26</v>
      </c>
      <c r="B36" s="34" t="s">
        <v>210</v>
      </c>
      <c r="C36" s="14">
        <v>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>
        <f t="shared" si="6"/>
        <v>1</v>
      </c>
      <c r="X36" s="14"/>
      <c r="Y36" s="14"/>
      <c r="Z36" s="14"/>
      <c r="AA36" s="14"/>
      <c r="AB36" s="14"/>
      <c r="AC36" s="14">
        <f t="shared" si="7"/>
        <v>0</v>
      </c>
      <c r="AD36" s="14"/>
      <c r="AE36" s="14"/>
      <c r="AF36" s="14"/>
      <c r="AG36" s="14"/>
      <c r="AH36" s="14"/>
      <c r="AI36" s="14">
        <f t="shared" si="8"/>
        <v>0</v>
      </c>
      <c r="AJ36" s="14">
        <f t="shared" si="2"/>
        <v>1</v>
      </c>
      <c r="AK36" s="46">
        <f t="shared" si="3"/>
        <v>2.8571428571428572</v>
      </c>
      <c r="AL36" s="37" t="str">
        <f t="shared" si="4"/>
        <v xml:space="preserve"> </v>
      </c>
      <c r="AM36" s="37">
        <f t="shared" si="5"/>
        <v>1</v>
      </c>
    </row>
    <row r="37" spans="1:39" ht="20.100000000000001" customHeight="1" x14ac:dyDescent="0.3">
      <c r="A37" s="16" t="s">
        <v>36</v>
      </c>
      <c r="B37" s="17"/>
      <c r="C37" s="31">
        <f t="shared" ref="C37:V37" si="9">SUM(C11:C36)</f>
        <v>26</v>
      </c>
      <c r="D37" s="31">
        <f t="shared" si="9"/>
        <v>1</v>
      </c>
      <c r="E37" s="31">
        <f t="shared" si="9"/>
        <v>2</v>
      </c>
      <c r="F37" s="31">
        <f t="shared" si="9"/>
        <v>1</v>
      </c>
      <c r="G37" s="31">
        <f t="shared" si="9"/>
        <v>2</v>
      </c>
      <c r="H37" s="31">
        <f t="shared" si="9"/>
        <v>2</v>
      </c>
      <c r="I37" s="31">
        <f t="shared" si="9"/>
        <v>2</v>
      </c>
      <c r="J37" s="31">
        <f t="shared" si="9"/>
        <v>2</v>
      </c>
      <c r="K37" s="31">
        <f t="shared" si="9"/>
        <v>2</v>
      </c>
      <c r="L37" s="31">
        <f t="shared" si="9"/>
        <v>2</v>
      </c>
      <c r="M37" s="31">
        <f t="shared" si="9"/>
        <v>2</v>
      </c>
      <c r="N37" s="31">
        <f t="shared" si="9"/>
        <v>2</v>
      </c>
      <c r="O37" s="31">
        <f t="shared" si="9"/>
        <v>2</v>
      </c>
      <c r="P37" s="31">
        <f t="shared" si="9"/>
        <v>2</v>
      </c>
      <c r="Q37" s="31">
        <f t="shared" si="9"/>
        <v>2</v>
      </c>
      <c r="R37" s="31">
        <f t="shared" si="9"/>
        <v>2</v>
      </c>
      <c r="S37" s="31">
        <f t="shared" si="9"/>
        <v>2</v>
      </c>
      <c r="T37" s="31">
        <f t="shared" si="9"/>
        <v>2</v>
      </c>
      <c r="U37" s="31">
        <f t="shared" si="9"/>
        <v>2</v>
      </c>
      <c r="V37" s="31">
        <f t="shared" si="9"/>
        <v>2</v>
      </c>
      <c r="W37" s="65"/>
      <c r="X37" s="31">
        <f>SUM(X11:X36)</f>
        <v>1</v>
      </c>
      <c r="Y37" s="31">
        <f>SUM(Y11:Y36)</f>
        <v>1</v>
      </c>
      <c r="Z37" s="31">
        <f>SUM(Z11:Z36)</f>
        <v>1</v>
      </c>
      <c r="AA37" s="31">
        <f>SUM(AA11:AA36)</f>
        <v>1</v>
      </c>
      <c r="AB37" s="31">
        <f>SUM(AB11:AB36)</f>
        <v>2</v>
      </c>
      <c r="AC37" s="67"/>
      <c r="AD37" s="31">
        <f>SUM(AD11:AD36)</f>
        <v>1.5</v>
      </c>
      <c r="AE37" s="31">
        <f>SUM(AE11:AE36)</f>
        <v>2</v>
      </c>
      <c r="AF37" s="31">
        <f>SUM(AF11:AF36)</f>
        <v>3</v>
      </c>
      <c r="AG37" s="31">
        <f>SUM(AG11:AG36)</f>
        <v>1.5</v>
      </c>
      <c r="AH37" s="31">
        <f>SUM(AH11:AH36)</f>
        <v>3</v>
      </c>
      <c r="AI37" s="65"/>
      <c r="AJ37" s="69">
        <f>SUM(AJ11:AJ36)</f>
        <v>79</v>
      </c>
      <c r="AK37" s="69">
        <f>SUM(AK11:AK36)</f>
        <v>225.71428571428581</v>
      </c>
      <c r="AL37" s="60">
        <f>SUM(AL11:AL36)</f>
        <v>2</v>
      </c>
      <c r="AM37" s="60">
        <f>SUM(AM11:AM36)</f>
        <v>24</v>
      </c>
    </row>
    <row r="38" spans="1:39" ht="20.100000000000001" customHeight="1" x14ac:dyDescent="0.3">
      <c r="A38" s="18" t="s">
        <v>37</v>
      </c>
      <c r="B38" s="17"/>
      <c r="C38" s="33">
        <f>C37*100/26</f>
        <v>100</v>
      </c>
      <c r="D38" s="33">
        <f t="shared" ref="D38:V38" si="10">D37*100/26</f>
        <v>3.8461538461538463</v>
      </c>
      <c r="E38" s="33">
        <f t="shared" si="10"/>
        <v>7.6923076923076925</v>
      </c>
      <c r="F38" s="33">
        <f t="shared" si="10"/>
        <v>3.8461538461538463</v>
      </c>
      <c r="G38" s="33">
        <f t="shared" si="10"/>
        <v>7.6923076923076925</v>
      </c>
      <c r="H38" s="33">
        <f t="shared" si="10"/>
        <v>7.6923076923076925</v>
      </c>
      <c r="I38" s="33">
        <f t="shared" si="10"/>
        <v>7.6923076923076925</v>
      </c>
      <c r="J38" s="33">
        <f t="shared" si="10"/>
        <v>7.6923076923076925</v>
      </c>
      <c r="K38" s="33">
        <f t="shared" si="10"/>
        <v>7.6923076923076925</v>
      </c>
      <c r="L38" s="33">
        <f t="shared" si="10"/>
        <v>7.6923076923076925</v>
      </c>
      <c r="M38" s="33">
        <f t="shared" si="10"/>
        <v>7.6923076923076925</v>
      </c>
      <c r="N38" s="33">
        <f t="shared" si="10"/>
        <v>7.6923076923076925</v>
      </c>
      <c r="O38" s="33">
        <f t="shared" si="10"/>
        <v>7.6923076923076925</v>
      </c>
      <c r="P38" s="33">
        <f t="shared" si="10"/>
        <v>7.6923076923076925</v>
      </c>
      <c r="Q38" s="33">
        <f t="shared" si="10"/>
        <v>7.6923076923076925</v>
      </c>
      <c r="R38" s="33">
        <f t="shared" si="10"/>
        <v>7.6923076923076925</v>
      </c>
      <c r="S38" s="33">
        <f t="shared" si="10"/>
        <v>7.6923076923076925</v>
      </c>
      <c r="T38" s="33">
        <f t="shared" si="10"/>
        <v>7.6923076923076925</v>
      </c>
      <c r="U38" s="33">
        <f t="shared" si="10"/>
        <v>7.6923076923076925</v>
      </c>
      <c r="V38" s="33">
        <f t="shared" si="10"/>
        <v>7.6923076923076925</v>
      </c>
      <c r="W38" s="66"/>
      <c r="X38" s="33">
        <f>X37*100/26</f>
        <v>3.8461538461538463</v>
      </c>
      <c r="Y38" s="33">
        <f t="shared" ref="Y38:AB38" si="11">Y37*100/26</f>
        <v>3.8461538461538463</v>
      </c>
      <c r="Z38" s="33">
        <f t="shared" si="11"/>
        <v>3.8461538461538463</v>
      </c>
      <c r="AA38" s="33">
        <f t="shared" si="11"/>
        <v>3.8461538461538463</v>
      </c>
      <c r="AB38" s="33">
        <f t="shared" si="11"/>
        <v>7.6923076923076925</v>
      </c>
      <c r="AC38" s="68"/>
      <c r="AD38" s="33">
        <f>AD37*100/26</f>
        <v>5.7692307692307692</v>
      </c>
      <c r="AE38" s="33">
        <f t="shared" ref="AE38:AH38" si="12">AE37*100/26</f>
        <v>7.6923076923076925</v>
      </c>
      <c r="AF38" s="33">
        <f t="shared" si="12"/>
        <v>11.538461538461538</v>
      </c>
      <c r="AG38" s="33">
        <f t="shared" si="12"/>
        <v>5.7692307692307692</v>
      </c>
      <c r="AH38" s="33">
        <f t="shared" si="12"/>
        <v>11.538461538461538</v>
      </c>
      <c r="AI38" s="66"/>
      <c r="AJ38" s="70"/>
      <c r="AK38" s="70"/>
      <c r="AL38" s="61"/>
      <c r="AM38" s="61"/>
    </row>
    <row r="40" spans="1:39" ht="20.100000000000001" customHeight="1" x14ac:dyDescent="0.3">
      <c r="A40" s="20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3"/>
      <c r="AK40" s="23"/>
      <c r="AL40" s="24"/>
    </row>
    <row r="41" spans="1:39" ht="20.100000000000001" customHeight="1" x14ac:dyDescent="0.3">
      <c r="A41" s="25"/>
      <c r="B41" s="26"/>
      <c r="C41" s="27" t="s">
        <v>38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 t="s">
        <v>215</v>
      </c>
      <c r="AF41" s="26"/>
      <c r="AG41" s="26"/>
      <c r="AH41" s="26"/>
      <c r="AI41" s="26"/>
      <c r="AJ41" s="26"/>
      <c r="AK41" s="26"/>
      <c r="AL41" s="25"/>
    </row>
    <row r="42" spans="1:39" ht="20.100000000000001" customHeight="1" x14ac:dyDescent="0.3">
      <c r="A42" s="25"/>
      <c r="B42" s="26"/>
      <c r="C42" s="26" t="s">
        <v>39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45"/>
      <c r="X42" s="45"/>
      <c r="Y42" s="45"/>
      <c r="Z42" s="45"/>
      <c r="AA42" s="45"/>
      <c r="AB42" s="45"/>
      <c r="AC42" s="45"/>
      <c r="AD42" s="26"/>
      <c r="AE42" s="26" t="s">
        <v>214</v>
      </c>
      <c r="AF42" s="26"/>
      <c r="AG42" s="26"/>
      <c r="AH42" s="26"/>
      <c r="AI42" s="26"/>
      <c r="AJ42" s="26"/>
      <c r="AK42" s="26"/>
      <c r="AL42" s="25"/>
    </row>
    <row r="43" spans="1:39" ht="20.100000000000001" customHeight="1" x14ac:dyDescent="0.3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45"/>
      <c r="AD43" s="45"/>
      <c r="AE43" s="45"/>
      <c r="AF43" s="26"/>
      <c r="AG43" s="26"/>
      <c r="AH43" s="26"/>
      <c r="AI43" s="26"/>
      <c r="AJ43" s="26"/>
      <c r="AK43" s="26"/>
      <c r="AL43" s="25"/>
    </row>
    <row r="44" spans="1:39" ht="20.100000000000001" customHeight="1" x14ac:dyDescent="0.3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5"/>
    </row>
    <row r="45" spans="1:39" ht="20.100000000000001" customHeight="1" x14ac:dyDescent="0.3">
      <c r="A45" s="25"/>
      <c r="B45" s="26"/>
      <c r="C45" s="28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5"/>
    </row>
    <row r="46" spans="1:39" ht="20.100000000000001" customHeight="1" x14ac:dyDescent="0.3">
      <c r="A46" s="25"/>
      <c r="B46" s="26"/>
      <c r="C46" s="28" t="s">
        <v>40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9"/>
      <c r="X46" s="29"/>
      <c r="Y46" s="29"/>
      <c r="Z46" s="29"/>
      <c r="AA46" s="29"/>
      <c r="AB46" s="29"/>
      <c r="AC46" s="26"/>
      <c r="AD46" s="39"/>
      <c r="AE46" s="29" t="s">
        <v>68</v>
      </c>
      <c r="AF46" s="26"/>
      <c r="AG46" s="26"/>
      <c r="AH46" s="26"/>
      <c r="AI46" s="26"/>
      <c r="AJ46" s="26"/>
      <c r="AK46" s="26"/>
      <c r="AL46" s="25"/>
    </row>
  </sheetData>
  <mergeCells count="17">
    <mergeCell ref="AM37:AM38"/>
    <mergeCell ref="W37:W38"/>
    <mergeCell ref="AC37:AC38"/>
    <mergeCell ref="AI37:AI38"/>
    <mergeCell ref="AJ37:AJ38"/>
    <mergeCell ref="AK37:AK38"/>
    <mergeCell ref="AL37:AL38"/>
    <mergeCell ref="AO13:AO14"/>
    <mergeCell ref="A1:AM1"/>
    <mergeCell ref="A2:AM2"/>
    <mergeCell ref="AK8:AK9"/>
    <mergeCell ref="AL8:AM8"/>
    <mergeCell ref="A8:A9"/>
    <mergeCell ref="B8:B9"/>
    <mergeCell ref="C8:V8"/>
    <mergeCell ref="X8:AB8"/>
    <mergeCell ref="AD8:AH8"/>
  </mergeCells>
  <pageMargins left="0" right="0" top="0" bottom="0" header="0.31496062992125984" footer="0.31496062992125984"/>
  <pageSetup paperSize="14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1494-4721-413B-949F-CF10DC8018A4}">
  <sheetPr>
    <pageSetUpPr fitToPage="1"/>
  </sheetPr>
  <dimension ref="A1:AO46"/>
  <sheetViews>
    <sheetView topLeftCell="A2" zoomScale="55" zoomScaleNormal="55" workbookViewId="0">
      <selection activeCell="AL8" sqref="AL8:AM8"/>
    </sheetView>
  </sheetViews>
  <sheetFormatPr defaultColWidth="9.109375" defaultRowHeight="13.8" x14ac:dyDescent="0.3"/>
  <cols>
    <col min="1" max="1" width="4.44140625" style="1" customWidth="1"/>
    <col min="2" max="2" width="38.5546875" style="1" customWidth="1"/>
    <col min="3" max="3" width="4.6640625" style="1" customWidth="1"/>
    <col min="4" max="22" width="3.6640625" style="1" customWidth="1"/>
    <col min="23" max="23" width="9.109375" style="13"/>
    <col min="24" max="28" width="4.6640625" style="1" customWidth="1"/>
    <col min="29" max="29" width="9.109375" style="13"/>
    <col min="30" max="34" width="4.6640625" style="1" customWidth="1"/>
    <col min="35" max="36" width="9.109375" style="1"/>
    <col min="37" max="37" width="11.21875" style="1" customWidth="1"/>
    <col min="38" max="40" width="9.109375" style="1"/>
    <col min="41" max="41" width="87.5546875" style="1" bestFit="1" customWidth="1"/>
    <col min="42" max="16384" width="9.109375" style="1"/>
  </cols>
  <sheetData>
    <row r="1" spans="1:41" ht="20.100000000000001" customHeight="1" x14ac:dyDescent="0.3">
      <c r="A1" s="54" t="s">
        <v>212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41" ht="20.100000000000001" customHeight="1" x14ac:dyDescent="0.3">
      <c r="A2" s="55" t="s">
        <v>213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1" ht="20.100000000000001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  <c r="X3" s="10"/>
      <c r="Y3" s="10"/>
      <c r="Z3" s="10"/>
      <c r="AA3" s="10"/>
      <c r="AB3" s="10"/>
      <c r="AC3" s="19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ht="20.100000000000001" customHeight="1" x14ac:dyDescent="0.3">
      <c r="A4" s="2"/>
      <c r="B4" s="9" t="s">
        <v>0</v>
      </c>
      <c r="C4" s="2"/>
      <c r="D4" s="9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  <c r="X4" s="10"/>
      <c r="Y4" s="10"/>
      <c r="Z4" s="10"/>
      <c r="AA4" s="10"/>
      <c r="AB4" s="10"/>
      <c r="AC4" s="19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20.100000000000001" customHeight="1" x14ac:dyDescent="0.3">
      <c r="A5" s="2"/>
      <c r="B5" s="9" t="s">
        <v>2</v>
      </c>
      <c r="C5" s="2"/>
      <c r="D5" s="11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  <c r="X5" s="10"/>
      <c r="Y5" s="10"/>
      <c r="Z5" s="10"/>
      <c r="AA5" s="10"/>
      <c r="AB5" s="10"/>
      <c r="AC5" s="19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1" ht="20.100000000000001" customHeight="1" x14ac:dyDescent="0.3">
      <c r="A6" s="2"/>
      <c r="B6" s="9" t="s">
        <v>3</v>
      </c>
      <c r="C6" s="2"/>
      <c r="D6" s="11" t="s">
        <v>69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  <c r="X6" s="10"/>
      <c r="Y6" s="10"/>
      <c r="Z6" s="10"/>
      <c r="AA6" s="10"/>
      <c r="AB6" s="10"/>
      <c r="AC6" s="19"/>
      <c r="AD6" s="2"/>
      <c r="AE6" s="2"/>
      <c r="AF6" s="2"/>
      <c r="AG6" s="2"/>
      <c r="AH6" s="2"/>
      <c r="AI6" s="2"/>
      <c r="AJ6" s="2"/>
      <c r="AK6" s="2"/>
      <c r="AL6" s="2"/>
      <c r="AM6" s="2"/>
    </row>
    <row r="8" spans="1:41" ht="30" customHeight="1" x14ac:dyDescent="0.3">
      <c r="A8" s="60" t="s">
        <v>4</v>
      </c>
      <c r="B8" s="60" t="s">
        <v>5</v>
      </c>
      <c r="C8" s="62" t="s">
        <v>6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40" t="s">
        <v>7</v>
      </c>
      <c r="X8" s="62" t="s">
        <v>8</v>
      </c>
      <c r="Y8" s="63"/>
      <c r="Z8" s="63"/>
      <c r="AA8" s="63"/>
      <c r="AB8" s="63"/>
      <c r="AC8" s="40" t="s">
        <v>7</v>
      </c>
      <c r="AD8" s="62" t="s">
        <v>42</v>
      </c>
      <c r="AE8" s="63"/>
      <c r="AF8" s="63"/>
      <c r="AG8" s="63"/>
      <c r="AH8" s="64"/>
      <c r="AI8" s="40" t="s">
        <v>7</v>
      </c>
      <c r="AJ8" s="40" t="s">
        <v>9</v>
      </c>
      <c r="AK8" s="56" t="s">
        <v>10</v>
      </c>
      <c r="AL8" s="58" t="s">
        <v>280</v>
      </c>
      <c r="AM8" s="59"/>
    </row>
    <row r="9" spans="1:41" ht="20.100000000000001" customHeight="1" x14ac:dyDescent="0.3">
      <c r="A9" s="61"/>
      <c r="B9" s="61"/>
      <c r="C9" s="30" t="s">
        <v>11</v>
      </c>
      <c r="D9" s="30" t="s">
        <v>12</v>
      </c>
      <c r="E9" s="30" t="s">
        <v>13</v>
      </c>
      <c r="F9" s="30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30" t="s">
        <v>21</v>
      </c>
      <c r="N9" s="30" t="s">
        <v>22</v>
      </c>
      <c r="O9" s="30" t="s">
        <v>23</v>
      </c>
      <c r="P9" s="30" t="s">
        <v>24</v>
      </c>
      <c r="Q9" s="30" t="s">
        <v>25</v>
      </c>
      <c r="R9" s="30" t="s">
        <v>26</v>
      </c>
      <c r="S9" s="30" t="s">
        <v>27</v>
      </c>
      <c r="T9" s="30" t="s">
        <v>28</v>
      </c>
      <c r="U9" s="30" t="s">
        <v>29</v>
      </c>
      <c r="V9" s="30" t="s">
        <v>30</v>
      </c>
      <c r="W9" s="5" t="s">
        <v>31</v>
      </c>
      <c r="X9" s="6">
        <v>1</v>
      </c>
      <c r="Y9" s="6">
        <v>2</v>
      </c>
      <c r="Z9" s="6">
        <v>3</v>
      </c>
      <c r="AA9" s="6">
        <v>4</v>
      </c>
      <c r="AB9" s="6">
        <v>5</v>
      </c>
      <c r="AC9" s="5" t="s">
        <v>31</v>
      </c>
      <c r="AD9" s="6">
        <v>1</v>
      </c>
      <c r="AE9" s="6">
        <v>2</v>
      </c>
      <c r="AF9" s="6">
        <v>3</v>
      </c>
      <c r="AG9" s="6">
        <v>4</v>
      </c>
      <c r="AH9" s="6">
        <v>5</v>
      </c>
      <c r="AI9" s="5" t="s">
        <v>32</v>
      </c>
      <c r="AJ9" s="38"/>
      <c r="AK9" s="57"/>
      <c r="AL9" s="7" t="s">
        <v>33</v>
      </c>
      <c r="AM9" s="7" t="s">
        <v>34</v>
      </c>
    </row>
    <row r="10" spans="1:41" ht="6.9" customHeight="1" thickBot="1" x14ac:dyDescent="0.35">
      <c r="A10" s="8"/>
      <c r="B10" s="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15"/>
      <c r="X10" s="8"/>
      <c r="Y10" s="8"/>
      <c r="Z10" s="8"/>
      <c r="AA10" s="8"/>
      <c r="AB10" s="8"/>
      <c r="AC10" s="15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41" ht="21.9" customHeight="1" thickTop="1" x14ac:dyDescent="0.3">
      <c r="A11" s="14">
        <v>1</v>
      </c>
      <c r="B11" s="34" t="s">
        <v>216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f t="shared" ref="W11:W36" si="0">SUM(C11:V11)</f>
        <v>20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f>SUM(X11:AB11)</f>
        <v>5</v>
      </c>
      <c r="AD11" s="14">
        <v>0.5</v>
      </c>
      <c r="AE11" s="14">
        <v>1</v>
      </c>
      <c r="AF11" s="14">
        <v>2</v>
      </c>
      <c r="AG11" s="14">
        <v>0.5</v>
      </c>
      <c r="AH11" s="14">
        <v>1</v>
      </c>
      <c r="AI11" s="14">
        <f>SUM(AD11:AH11)*1</f>
        <v>5</v>
      </c>
      <c r="AJ11" s="14">
        <f>SUM(W11,AC11,AI11)</f>
        <v>30</v>
      </c>
      <c r="AK11" s="46">
        <f>AJ11*100/35</f>
        <v>85.714285714285708</v>
      </c>
      <c r="AL11" s="37">
        <f>IF(AK11&gt;70,1," ")</f>
        <v>1</v>
      </c>
      <c r="AM11" s="37" t="str">
        <f>IF(AK11&lt;70,1," ")</f>
        <v xml:space="preserve"> </v>
      </c>
      <c r="AO11" s="41" t="s">
        <v>183</v>
      </c>
    </row>
    <row r="12" spans="1:41" ht="21.9" customHeight="1" x14ac:dyDescent="0.3">
      <c r="A12" s="14">
        <v>2</v>
      </c>
      <c r="B12" s="34" t="s">
        <v>217</v>
      </c>
      <c r="C12" s="14">
        <v>1</v>
      </c>
      <c r="D12" s="14">
        <v>0</v>
      </c>
      <c r="E12" s="14">
        <v>0</v>
      </c>
      <c r="F12" s="14">
        <v>1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f t="shared" si="0"/>
        <v>18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f t="shared" ref="AC12:AC36" si="1">SUM(X12:AB12)</f>
        <v>5</v>
      </c>
      <c r="AD12" s="14">
        <v>1</v>
      </c>
      <c r="AE12" s="14">
        <v>1</v>
      </c>
      <c r="AF12" s="14">
        <v>1</v>
      </c>
      <c r="AG12" s="14">
        <v>1</v>
      </c>
      <c r="AH12" s="14">
        <v>2</v>
      </c>
      <c r="AI12" s="14">
        <f>SUM(AD12:AH12)*1</f>
        <v>6</v>
      </c>
      <c r="AJ12" s="14">
        <f t="shared" ref="AJ12" si="2">SUM(W12,AC12,AI12)</f>
        <v>29</v>
      </c>
      <c r="AK12" s="46">
        <f>AJ12*100/35</f>
        <v>82.857142857142861</v>
      </c>
      <c r="AL12" s="37">
        <f t="shared" ref="AL12:AL36" si="3">IF(AK12&gt;70,1," ")</f>
        <v>1</v>
      </c>
      <c r="AM12" s="37" t="str">
        <f t="shared" ref="AM12:AM36" si="4">IF(AK12&lt;70,1," ")</f>
        <v xml:space="preserve"> </v>
      </c>
      <c r="AO12" s="42" t="s">
        <v>268</v>
      </c>
    </row>
    <row r="13" spans="1:41" ht="21.9" customHeight="1" x14ac:dyDescent="0.3">
      <c r="A13" s="14">
        <v>3</v>
      </c>
      <c r="B13" s="34" t="s">
        <v>218</v>
      </c>
      <c r="C13" s="14">
        <v>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>
        <f t="shared" si="0"/>
        <v>1</v>
      </c>
      <c r="X13" s="14"/>
      <c r="Y13" s="14"/>
      <c r="Z13" s="14"/>
      <c r="AA13" s="14"/>
      <c r="AB13" s="14"/>
      <c r="AC13" s="14">
        <f t="shared" si="1"/>
        <v>0</v>
      </c>
      <c r="AD13" s="14"/>
      <c r="AE13" s="14"/>
      <c r="AF13" s="14"/>
      <c r="AG13" s="14"/>
      <c r="AH13" s="14"/>
      <c r="AI13" s="14">
        <f t="shared" ref="AI13:AI36" si="5">SUM(AD13:AH13)*1</f>
        <v>0</v>
      </c>
      <c r="AJ13" s="14">
        <f t="shared" ref="AJ13:AJ36" si="6">SUM(W13,AC13,AI13)</f>
        <v>1</v>
      </c>
      <c r="AK13" s="46">
        <f t="shared" ref="AK13:AK36" si="7">AJ13*100/35</f>
        <v>2.8571428571428572</v>
      </c>
      <c r="AL13" s="37" t="str">
        <f t="shared" si="3"/>
        <v xml:space="preserve"> </v>
      </c>
      <c r="AM13" s="37">
        <f t="shared" si="4"/>
        <v>1</v>
      </c>
      <c r="AO13" s="53" t="s">
        <v>275</v>
      </c>
    </row>
    <row r="14" spans="1:41" ht="21.9" customHeight="1" x14ac:dyDescent="0.3">
      <c r="A14" s="14">
        <v>4</v>
      </c>
      <c r="B14" s="34" t="s">
        <v>219</v>
      </c>
      <c r="C14" s="14">
        <v>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>
        <f t="shared" si="0"/>
        <v>1</v>
      </c>
      <c r="X14" s="14"/>
      <c r="Y14" s="14"/>
      <c r="Z14" s="14"/>
      <c r="AA14" s="14"/>
      <c r="AB14" s="14"/>
      <c r="AC14" s="14">
        <f t="shared" si="1"/>
        <v>0</v>
      </c>
      <c r="AD14" s="14"/>
      <c r="AE14" s="14"/>
      <c r="AF14" s="14"/>
      <c r="AG14" s="14"/>
      <c r="AH14" s="14"/>
      <c r="AI14" s="14">
        <f t="shared" si="5"/>
        <v>0</v>
      </c>
      <c r="AJ14" s="14">
        <f t="shared" si="6"/>
        <v>1</v>
      </c>
      <c r="AK14" s="46">
        <f t="shared" si="7"/>
        <v>2.8571428571428572</v>
      </c>
      <c r="AL14" s="37" t="str">
        <f t="shared" si="3"/>
        <v xml:space="preserve"> </v>
      </c>
      <c r="AM14" s="37">
        <f t="shared" si="4"/>
        <v>1</v>
      </c>
      <c r="AO14" s="53"/>
    </row>
    <row r="15" spans="1:41" ht="21.9" customHeight="1" x14ac:dyDescent="0.3">
      <c r="A15" s="14">
        <v>5</v>
      </c>
      <c r="B15" s="34" t="s">
        <v>220</v>
      </c>
      <c r="C15" s="14">
        <v>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>
        <f t="shared" si="0"/>
        <v>1</v>
      </c>
      <c r="X15" s="14"/>
      <c r="Y15" s="14"/>
      <c r="Z15" s="14"/>
      <c r="AA15" s="14"/>
      <c r="AB15" s="14"/>
      <c r="AC15" s="14">
        <f t="shared" si="1"/>
        <v>0</v>
      </c>
      <c r="AD15" s="14"/>
      <c r="AE15" s="14"/>
      <c r="AF15" s="14"/>
      <c r="AG15" s="14"/>
      <c r="AH15" s="14"/>
      <c r="AI15" s="14">
        <f t="shared" si="5"/>
        <v>0</v>
      </c>
      <c r="AJ15" s="14">
        <f t="shared" si="6"/>
        <v>1</v>
      </c>
      <c r="AK15" s="46">
        <f t="shared" si="7"/>
        <v>2.8571428571428572</v>
      </c>
      <c r="AL15" s="37" t="str">
        <f t="shared" si="3"/>
        <v xml:space="preserve"> </v>
      </c>
      <c r="AM15" s="37">
        <f t="shared" si="4"/>
        <v>1</v>
      </c>
      <c r="AO15" s="50" t="s">
        <v>276</v>
      </c>
    </row>
    <row r="16" spans="1:41" ht="21.9" customHeight="1" x14ac:dyDescent="0.3">
      <c r="A16" s="14">
        <v>6</v>
      </c>
      <c r="B16" s="34" t="s">
        <v>221</v>
      </c>
      <c r="C16" s="14">
        <v>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>
        <f t="shared" si="0"/>
        <v>1</v>
      </c>
      <c r="X16" s="14"/>
      <c r="Y16" s="14"/>
      <c r="Z16" s="14"/>
      <c r="AA16" s="14"/>
      <c r="AB16" s="14"/>
      <c r="AC16" s="14">
        <f t="shared" si="1"/>
        <v>0</v>
      </c>
      <c r="AD16" s="14"/>
      <c r="AE16" s="14"/>
      <c r="AF16" s="14"/>
      <c r="AG16" s="14"/>
      <c r="AH16" s="14"/>
      <c r="AI16" s="14">
        <f t="shared" si="5"/>
        <v>0</v>
      </c>
      <c r="AJ16" s="14">
        <f t="shared" si="6"/>
        <v>1</v>
      </c>
      <c r="AK16" s="46">
        <f t="shared" si="7"/>
        <v>2.8571428571428572</v>
      </c>
      <c r="AL16" s="37" t="str">
        <f t="shared" si="3"/>
        <v xml:space="preserve"> </v>
      </c>
      <c r="AM16" s="37">
        <f t="shared" si="4"/>
        <v>1</v>
      </c>
      <c r="AO16" s="51" t="s">
        <v>277</v>
      </c>
    </row>
    <row r="17" spans="1:41" ht="21.9" customHeight="1" x14ac:dyDescent="0.3">
      <c r="A17" s="14">
        <v>7</v>
      </c>
      <c r="B17" s="34" t="s">
        <v>222</v>
      </c>
      <c r="C17" s="14">
        <v>1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>
        <f t="shared" si="0"/>
        <v>1</v>
      </c>
      <c r="X17" s="14"/>
      <c r="Y17" s="14"/>
      <c r="Z17" s="14"/>
      <c r="AA17" s="14"/>
      <c r="AB17" s="14"/>
      <c r="AC17" s="14">
        <f t="shared" si="1"/>
        <v>0</v>
      </c>
      <c r="AD17" s="14"/>
      <c r="AE17" s="14"/>
      <c r="AF17" s="14"/>
      <c r="AG17" s="14"/>
      <c r="AH17" s="14"/>
      <c r="AI17" s="14">
        <f t="shared" si="5"/>
        <v>0</v>
      </c>
      <c r="AJ17" s="14">
        <f t="shared" si="6"/>
        <v>1</v>
      </c>
      <c r="AK17" s="46">
        <f t="shared" si="7"/>
        <v>2.8571428571428572</v>
      </c>
      <c r="AL17" s="37" t="str">
        <f t="shared" si="3"/>
        <v xml:space="preserve"> </v>
      </c>
      <c r="AM17" s="37">
        <f t="shared" si="4"/>
        <v>1</v>
      </c>
      <c r="AO17" s="51" t="s">
        <v>278</v>
      </c>
    </row>
    <row r="18" spans="1:41" ht="21.9" customHeight="1" thickBot="1" x14ac:dyDescent="0.35">
      <c r="A18" s="14">
        <v>8</v>
      </c>
      <c r="B18" s="34" t="s">
        <v>223</v>
      </c>
      <c r="C18" s="14">
        <v>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>
        <f t="shared" si="0"/>
        <v>1</v>
      </c>
      <c r="X18" s="14"/>
      <c r="Y18" s="14"/>
      <c r="Z18" s="14"/>
      <c r="AA18" s="14"/>
      <c r="AB18" s="14"/>
      <c r="AC18" s="14">
        <f t="shared" si="1"/>
        <v>0</v>
      </c>
      <c r="AD18" s="14"/>
      <c r="AE18" s="14"/>
      <c r="AF18" s="14"/>
      <c r="AG18" s="14"/>
      <c r="AH18" s="14"/>
      <c r="AI18" s="14">
        <f t="shared" si="5"/>
        <v>0</v>
      </c>
      <c r="AJ18" s="14">
        <f t="shared" si="6"/>
        <v>1</v>
      </c>
      <c r="AK18" s="46">
        <f t="shared" si="7"/>
        <v>2.8571428571428572</v>
      </c>
      <c r="AL18" s="37" t="str">
        <f t="shared" si="3"/>
        <v xml:space="preserve"> </v>
      </c>
      <c r="AM18" s="37">
        <f t="shared" si="4"/>
        <v>1</v>
      </c>
      <c r="AO18" s="52" t="s">
        <v>279</v>
      </c>
    </row>
    <row r="19" spans="1:41" ht="21.9" customHeight="1" thickTop="1" x14ac:dyDescent="0.3">
      <c r="A19" s="14">
        <v>9</v>
      </c>
      <c r="B19" s="34" t="s">
        <v>224</v>
      </c>
      <c r="C19" s="14">
        <v>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>
        <f t="shared" si="0"/>
        <v>1</v>
      </c>
      <c r="X19" s="14"/>
      <c r="Y19" s="14"/>
      <c r="Z19" s="14"/>
      <c r="AA19" s="14"/>
      <c r="AB19" s="14"/>
      <c r="AC19" s="14">
        <f t="shared" si="1"/>
        <v>0</v>
      </c>
      <c r="AD19" s="14"/>
      <c r="AE19" s="14"/>
      <c r="AF19" s="14"/>
      <c r="AG19" s="14"/>
      <c r="AH19" s="14"/>
      <c r="AI19" s="14">
        <f t="shared" si="5"/>
        <v>0</v>
      </c>
      <c r="AJ19" s="14">
        <f t="shared" si="6"/>
        <v>1</v>
      </c>
      <c r="AK19" s="46">
        <f t="shared" si="7"/>
        <v>2.8571428571428572</v>
      </c>
      <c r="AL19" s="37" t="str">
        <f t="shared" si="3"/>
        <v xml:space="preserve"> </v>
      </c>
      <c r="AM19" s="37">
        <f t="shared" si="4"/>
        <v>1</v>
      </c>
    </row>
    <row r="20" spans="1:41" ht="21.9" customHeight="1" x14ac:dyDescent="0.3">
      <c r="A20" s="14">
        <v>10</v>
      </c>
      <c r="B20" s="34" t="s">
        <v>225</v>
      </c>
      <c r="C20" s="14">
        <v>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>
        <f t="shared" si="0"/>
        <v>1</v>
      </c>
      <c r="X20" s="14"/>
      <c r="Y20" s="14"/>
      <c r="Z20" s="14"/>
      <c r="AA20" s="14"/>
      <c r="AB20" s="14"/>
      <c r="AC20" s="14">
        <f t="shared" si="1"/>
        <v>0</v>
      </c>
      <c r="AD20" s="14"/>
      <c r="AE20" s="14"/>
      <c r="AF20" s="14"/>
      <c r="AG20" s="14"/>
      <c r="AH20" s="14"/>
      <c r="AI20" s="14">
        <f t="shared" si="5"/>
        <v>0</v>
      </c>
      <c r="AJ20" s="14">
        <f t="shared" si="6"/>
        <v>1</v>
      </c>
      <c r="AK20" s="46">
        <f t="shared" si="7"/>
        <v>2.8571428571428572</v>
      </c>
      <c r="AL20" s="37" t="str">
        <f t="shared" si="3"/>
        <v xml:space="preserve"> </v>
      </c>
      <c r="AM20" s="37">
        <f t="shared" si="4"/>
        <v>1</v>
      </c>
    </row>
    <row r="21" spans="1:41" ht="21.9" customHeight="1" x14ac:dyDescent="0.3">
      <c r="A21" s="14">
        <v>11</v>
      </c>
      <c r="B21" s="34" t="s">
        <v>226</v>
      </c>
      <c r="C21" s="14">
        <v>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>
        <f t="shared" si="0"/>
        <v>1</v>
      </c>
      <c r="X21" s="14"/>
      <c r="Y21" s="14"/>
      <c r="Z21" s="14"/>
      <c r="AA21" s="14"/>
      <c r="AB21" s="14"/>
      <c r="AC21" s="14">
        <f t="shared" si="1"/>
        <v>0</v>
      </c>
      <c r="AD21" s="14"/>
      <c r="AE21" s="14"/>
      <c r="AF21" s="14"/>
      <c r="AG21" s="14"/>
      <c r="AH21" s="14"/>
      <c r="AI21" s="14">
        <f t="shared" si="5"/>
        <v>0</v>
      </c>
      <c r="AJ21" s="14">
        <f t="shared" si="6"/>
        <v>1</v>
      </c>
      <c r="AK21" s="46">
        <f t="shared" si="7"/>
        <v>2.8571428571428572</v>
      </c>
      <c r="AL21" s="37" t="str">
        <f t="shared" si="3"/>
        <v xml:space="preserve"> </v>
      </c>
      <c r="AM21" s="37">
        <f t="shared" si="4"/>
        <v>1</v>
      </c>
    </row>
    <row r="22" spans="1:41" ht="21.9" customHeight="1" x14ac:dyDescent="0.3">
      <c r="A22" s="14">
        <v>12</v>
      </c>
      <c r="B22" s="34" t="s">
        <v>227</v>
      </c>
      <c r="C22" s="14">
        <v>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>
        <f t="shared" si="0"/>
        <v>1</v>
      </c>
      <c r="X22" s="14"/>
      <c r="Y22" s="14"/>
      <c r="Z22" s="14"/>
      <c r="AA22" s="14"/>
      <c r="AB22" s="14"/>
      <c r="AC22" s="14">
        <f t="shared" si="1"/>
        <v>0</v>
      </c>
      <c r="AD22" s="14"/>
      <c r="AE22" s="14"/>
      <c r="AF22" s="14"/>
      <c r="AG22" s="14"/>
      <c r="AH22" s="14"/>
      <c r="AI22" s="14">
        <f t="shared" si="5"/>
        <v>0</v>
      </c>
      <c r="AJ22" s="14">
        <f t="shared" si="6"/>
        <v>1</v>
      </c>
      <c r="AK22" s="46">
        <f t="shared" si="7"/>
        <v>2.8571428571428572</v>
      </c>
      <c r="AL22" s="37" t="str">
        <f t="shared" si="3"/>
        <v xml:space="preserve"> </v>
      </c>
      <c r="AM22" s="37">
        <f t="shared" si="4"/>
        <v>1</v>
      </c>
    </row>
    <row r="23" spans="1:41" ht="21.9" customHeight="1" x14ac:dyDescent="0.3">
      <c r="A23" s="14">
        <v>13</v>
      </c>
      <c r="B23" s="34" t="s">
        <v>228</v>
      </c>
      <c r="C23" s="14">
        <v>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>
        <f t="shared" si="0"/>
        <v>1</v>
      </c>
      <c r="X23" s="14"/>
      <c r="Y23" s="14"/>
      <c r="Z23" s="14"/>
      <c r="AA23" s="14"/>
      <c r="AB23" s="14"/>
      <c r="AC23" s="14">
        <f t="shared" si="1"/>
        <v>0</v>
      </c>
      <c r="AD23" s="14"/>
      <c r="AE23" s="14"/>
      <c r="AF23" s="14"/>
      <c r="AG23" s="14"/>
      <c r="AH23" s="14"/>
      <c r="AI23" s="14">
        <f t="shared" si="5"/>
        <v>0</v>
      </c>
      <c r="AJ23" s="14">
        <f t="shared" si="6"/>
        <v>1</v>
      </c>
      <c r="AK23" s="46">
        <f t="shared" si="7"/>
        <v>2.8571428571428572</v>
      </c>
      <c r="AL23" s="37" t="str">
        <f t="shared" si="3"/>
        <v xml:space="preserve"> </v>
      </c>
      <c r="AM23" s="37">
        <f t="shared" si="4"/>
        <v>1</v>
      </c>
    </row>
    <row r="24" spans="1:41" ht="21.9" customHeight="1" x14ac:dyDescent="0.3">
      <c r="A24" s="14">
        <v>14</v>
      </c>
      <c r="B24" s="34" t="s">
        <v>229</v>
      </c>
      <c r="C24" s="14">
        <v>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>
        <f t="shared" si="0"/>
        <v>1</v>
      </c>
      <c r="X24" s="14"/>
      <c r="Y24" s="14"/>
      <c r="Z24" s="14"/>
      <c r="AA24" s="14"/>
      <c r="AB24" s="14"/>
      <c r="AC24" s="14">
        <f t="shared" si="1"/>
        <v>0</v>
      </c>
      <c r="AD24" s="14"/>
      <c r="AE24" s="14"/>
      <c r="AF24" s="14"/>
      <c r="AG24" s="14"/>
      <c r="AH24" s="14"/>
      <c r="AI24" s="14">
        <f t="shared" si="5"/>
        <v>0</v>
      </c>
      <c r="AJ24" s="14">
        <f t="shared" si="6"/>
        <v>1</v>
      </c>
      <c r="AK24" s="46">
        <f t="shared" si="7"/>
        <v>2.8571428571428572</v>
      </c>
      <c r="AL24" s="37" t="str">
        <f t="shared" si="3"/>
        <v xml:space="preserve"> </v>
      </c>
      <c r="AM24" s="37">
        <f t="shared" si="4"/>
        <v>1</v>
      </c>
    </row>
    <row r="25" spans="1:41" ht="21.9" customHeight="1" x14ac:dyDescent="0.3">
      <c r="A25" s="14">
        <v>15</v>
      </c>
      <c r="B25" s="34" t="s">
        <v>230</v>
      </c>
      <c r="C25" s="14">
        <v>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>
        <f t="shared" si="0"/>
        <v>1</v>
      </c>
      <c r="X25" s="14"/>
      <c r="Y25" s="14"/>
      <c r="Z25" s="14"/>
      <c r="AA25" s="14"/>
      <c r="AB25" s="14"/>
      <c r="AC25" s="14">
        <f t="shared" si="1"/>
        <v>0</v>
      </c>
      <c r="AD25" s="14"/>
      <c r="AE25" s="14"/>
      <c r="AF25" s="14"/>
      <c r="AG25" s="14"/>
      <c r="AH25" s="14"/>
      <c r="AI25" s="14">
        <f t="shared" si="5"/>
        <v>0</v>
      </c>
      <c r="AJ25" s="14">
        <f t="shared" si="6"/>
        <v>1</v>
      </c>
      <c r="AK25" s="46">
        <f t="shared" si="7"/>
        <v>2.8571428571428572</v>
      </c>
      <c r="AL25" s="37" t="str">
        <f t="shared" si="3"/>
        <v xml:space="preserve"> </v>
      </c>
      <c r="AM25" s="37">
        <f t="shared" si="4"/>
        <v>1</v>
      </c>
    </row>
    <row r="26" spans="1:41" ht="21.9" customHeight="1" x14ac:dyDescent="0.3">
      <c r="A26" s="14">
        <v>16</v>
      </c>
      <c r="B26" s="34" t="s">
        <v>231</v>
      </c>
      <c r="C26" s="14">
        <v>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>
        <f t="shared" si="0"/>
        <v>1</v>
      </c>
      <c r="X26" s="14"/>
      <c r="Y26" s="14"/>
      <c r="Z26" s="14"/>
      <c r="AA26" s="14"/>
      <c r="AB26" s="14"/>
      <c r="AC26" s="14">
        <f t="shared" si="1"/>
        <v>0</v>
      </c>
      <c r="AD26" s="14"/>
      <c r="AE26" s="14"/>
      <c r="AF26" s="14"/>
      <c r="AG26" s="14"/>
      <c r="AH26" s="14"/>
      <c r="AI26" s="14">
        <f t="shared" si="5"/>
        <v>0</v>
      </c>
      <c r="AJ26" s="14">
        <f t="shared" si="6"/>
        <v>1</v>
      </c>
      <c r="AK26" s="46">
        <f t="shared" si="7"/>
        <v>2.8571428571428572</v>
      </c>
      <c r="AL26" s="37" t="str">
        <f t="shared" si="3"/>
        <v xml:space="preserve"> </v>
      </c>
      <c r="AM26" s="37">
        <f t="shared" si="4"/>
        <v>1</v>
      </c>
    </row>
    <row r="27" spans="1:41" ht="21.9" customHeight="1" x14ac:dyDescent="0.3">
      <c r="A27" s="14">
        <v>17</v>
      </c>
      <c r="B27" s="34" t="s">
        <v>232</v>
      </c>
      <c r="C27" s="14">
        <v>1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>
        <f t="shared" si="0"/>
        <v>1</v>
      </c>
      <c r="X27" s="14"/>
      <c r="Y27" s="14"/>
      <c r="Z27" s="14"/>
      <c r="AA27" s="14"/>
      <c r="AB27" s="14"/>
      <c r="AC27" s="14">
        <f t="shared" si="1"/>
        <v>0</v>
      </c>
      <c r="AD27" s="14"/>
      <c r="AE27" s="14"/>
      <c r="AF27" s="14"/>
      <c r="AG27" s="14"/>
      <c r="AH27" s="14"/>
      <c r="AI27" s="14">
        <f t="shared" si="5"/>
        <v>0</v>
      </c>
      <c r="AJ27" s="14">
        <f t="shared" si="6"/>
        <v>1</v>
      </c>
      <c r="AK27" s="46">
        <f t="shared" si="7"/>
        <v>2.8571428571428572</v>
      </c>
      <c r="AL27" s="37" t="str">
        <f t="shared" si="3"/>
        <v xml:space="preserve"> </v>
      </c>
      <c r="AM27" s="37">
        <f t="shared" si="4"/>
        <v>1</v>
      </c>
    </row>
    <row r="28" spans="1:41" ht="21.9" customHeight="1" x14ac:dyDescent="0.3">
      <c r="A28" s="14">
        <v>18</v>
      </c>
      <c r="B28" s="34" t="s">
        <v>233</v>
      </c>
      <c r="C28" s="14">
        <v>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>
        <f t="shared" si="0"/>
        <v>1</v>
      </c>
      <c r="X28" s="14"/>
      <c r="Y28" s="14"/>
      <c r="Z28" s="14"/>
      <c r="AA28" s="14"/>
      <c r="AB28" s="14"/>
      <c r="AC28" s="14">
        <f t="shared" si="1"/>
        <v>0</v>
      </c>
      <c r="AD28" s="14"/>
      <c r="AE28" s="14"/>
      <c r="AF28" s="14"/>
      <c r="AG28" s="14"/>
      <c r="AH28" s="14"/>
      <c r="AI28" s="14">
        <f t="shared" si="5"/>
        <v>0</v>
      </c>
      <c r="AJ28" s="14">
        <f t="shared" si="6"/>
        <v>1</v>
      </c>
      <c r="AK28" s="46">
        <f t="shared" si="7"/>
        <v>2.8571428571428572</v>
      </c>
      <c r="AL28" s="37" t="str">
        <f t="shared" si="3"/>
        <v xml:space="preserve"> </v>
      </c>
      <c r="AM28" s="37">
        <f t="shared" si="4"/>
        <v>1</v>
      </c>
    </row>
    <row r="29" spans="1:41" ht="21.9" customHeight="1" x14ac:dyDescent="0.3">
      <c r="A29" s="14">
        <v>19</v>
      </c>
      <c r="B29" s="34" t="s">
        <v>234</v>
      </c>
      <c r="C29" s="14">
        <v>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>
        <f t="shared" si="0"/>
        <v>1</v>
      </c>
      <c r="X29" s="14"/>
      <c r="Y29" s="14"/>
      <c r="Z29" s="14"/>
      <c r="AA29" s="14"/>
      <c r="AB29" s="14"/>
      <c r="AC29" s="14">
        <f t="shared" si="1"/>
        <v>0</v>
      </c>
      <c r="AD29" s="14"/>
      <c r="AE29" s="14"/>
      <c r="AF29" s="14"/>
      <c r="AG29" s="14"/>
      <c r="AH29" s="14"/>
      <c r="AI29" s="14">
        <f t="shared" si="5"/>
        <v>0</v>
      </c>
      <c r="AJ29" s="14">
        <f t="shared" si="6"/>
        <v>1</v>
      </c>
      <c r="AK29" s="46">
        <f t="shared" si="7"/>
        <v>2.8571428571428572</v>
      </c>
      <c r="AL29" s="37" t="str">
        <f t="shared" si="3"/>
        <v xml:space="preserve"> </v>
      </c>
      <c r="AM29" s="37">
        <f t="shared" si="4"/>
        <v>1</v>
      </c>
    </row>
    <row r="30" spans="1:41" ht="21.9" customHeight="1" x14ac:dyDescent="0.3">
      <c r="A30" s="14">
        <v>20</v>
      </c>
      <c r="B30" s="34" t="s">
        <v>235</v>
      </c>
      <c r="C30" s="14">
        <v>1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>
        <f t="shared" si="0"/>
        <v>1</v>
      </c>
      <c r="X30" s="14"/>
      <c r="Y30" s="14"/>
      <c r="Z30" s="14"/>
      <c r="AA30" s="14"/>
      <c r="AB30" s="14"/>
      <c r="AC30" s="14">
        <f t="shared" si="1"/>
        <v>0</v>
      </c>
      <c r="AD30" s="14"/>
      <c r="AE30" s="14"/>
      <c r="AF30" s="14"/>
      <c r="AG30" s="14"/>
      <c r="AH30" s="14"/>
      <c r="AI30" s="14">
        <f t="shared" si="5"/>
        <v>0</v>
      </c>
      <c r="AJ30" s="14">
        <f t="shared" si="6"/>
        <v>1</v>
      </c>
      <c r="AK30" s="46">
        <f t="shared" si="7"/>
        <v>2.8571428571428572</v>
      </c>
      <c r="AL30" s="37" t="str">
        <f t="shared" si="3"/>
        <v xml:space="preserve"> </v>
      </c>
      <c r="AM30" s="37">
        <f t="shared" si="4"/>
        <v>1</v>
      </c>
    </row>
    <row r="31" spans="1:41" ht="21.9" customHeight="1" x14ac:dyDescent="0.3">
      <c r="A31" s="14">
        <v>21</v>
      </c>
      <c r="B31" s="34" t="s">
        <v>236</v>
      </c>
      <c r="C31" s="14">
        <v>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>
        <f t="shared" si="0"/>
        <v>1</v>
      </c>
      <c r="X31" s="14"/>
      <c r="Y31" s="14"/>
      <c r="Z31" s="14"/>
      <c r="AA31" s="14"/>
      <c r="AB31" s="14"/>
      <c r="AC31" s="14">
        <f t="shared" si="1"/>
        <v>0</v>
      </c>
      <c r="AD31" s="14"/>
      <c r="AE31" s="14"/>
      <c r="AF31" s="14"/>
      <c r="AG31" s="14"/>
      <c r="AH31" s="14"/>
      <c r="AI31" s="14">
        <f t="shared" si="5"/>
        <v>0</v>
      </c>
      <c r="AJ31" s="14">
        <f t="shared" si="6"/>
        <v>1</v>
      </c>
      <c r="AK31" s="46">
        <f t="shared" si="7"/>
        <v>2.8571428571428572</v>
      </c>
      <c r="AL31" s="37" t="str">
        <f t="shared" si="3"/>
        <v xml:space="preserve"> </v>
      </c>
      <c r="AM31" s="37">
        <f t="shared" si="4"/>
        <v>1</v>
      </c>
    </row>
    <row r="32" spans="1:41" ht="21.9" customHeight="1" x14ac:dyDescent="0.3">
      <c r="A32" s="14">
        <v>22</v>
      </c>
      <c r="B32" s="34" t="s">
        <v>237</v>
      </c>
      <c r="C32" s="14">
        <v>1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>
        <f t="shared" si="0"/>
        <v>1</v>
      </c>
      <c r="X32" s="14"/>
      <c r="Y32" s="14"/>
      <c r="Z32" s="14"/>
      <c r="AA32" s="14"/>
      <c r="AB32" s="14"/>
      <c r="AC32" s="14">
        <f t="shared" si="1"/>
        <v>0</v>
      </c>
      <c r="AD32" s="14"/>
      <c r="AE32" s="14"/>
      <c r="AF32" s="14"/>
      <c r="AG32" s="14"/>
      <c r="AH32" s="14"/>
      <c r="AI32" s="14">
        <f t="shared" si="5"/>
        <v>0</v>
      </c>
      <c r="AJ32" s="14">
        <f t="shared" si="6"/>
        <v>1</v>
      </c>
      <c r="AK32" s="46">
        <f t="shared" si="7"/>
        <v>2.8571428571428572</v>
      </c>
      <c r="AL32" s="37" t="str">
        <f t="shared" si="3"/>
        <v xml:space="preserve"> </v>
      </c>
      <c r="AM32" s="37">
        <f t="shared" si="4"/>
        <v>1</v>
      </c>
    </row>
    <row r="33" spans="1:39" ht="21.9" customHeight="1" x14ac:dyDescent="0.3">
      <c r="A33" s="14">
        <v>23</v>
      </c>
      <c r="B33" s="34" t="s">
        <v>238</v>
      </c>
      <c r="C33" s="14">
        <v>1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>
        <f t="shared" si="0"/>
        <v>1</v>
      </c>
      <c r="X33" s="14"/>
      <c r="Y33" s="14"/>
      <c r="Z33" s="14"/>
      <c r="AA33" s="14"/>
      <c r="AB33" s="14"/>
      <c r="AC33" s="14">
        <f t="shared" si="1"/>
        <v>0</v>
      </c>
      <c r="AD33" s="14"/>
      <c r="AE33" s="14"/>
      <c r="AF33" s="14"/>
      <c r="AG33" s="14"/>
      <c r="AH33" s="14"/>
      <c r="AI33" s="14">
        <f t="shared" si="5"/>
        <v>0</v>
      </c>
      <c r="AJ33" s="14">
        <f t="shared" si="6"/>
        <v>1</v>
      </c>
      <c r="AK33" s="46">
        <f t="shared" si="7"/>
        <v>2.8571428571428572</v>
      </c>
      <c r="AL33" s="37" t="str">
        <f t="shared" si="3"/>
        <v xml:space="preserve"> </v>
      </c>
      <c r="AM33" s="37">
        <f t="shared" si="4"/>
        <v>1</v>
      </c>
    </row>
    <row r="34" spans="1:39" ht="21.9" customHeight="1" x14ac:dyDescent="0.3">
      <c r="A34" s="14">
        <v>24</v>
      </c>
      <c r="B34" s="34" t="s">
        <v>239</v>
      </c>
      <c r="C34" s="14">
        <v>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>
        <f t="shared" si="0"/>
        <v>1</v>
      </c>
      <c r="X34" s="14"/>
      <c r="Y34" s="14"/>
      <c r="Z34" s="14"/>
      <c r="AA34" s="14"/>
      <c r="AB34" s="14"/>
      <c r="AC34" s="14">
        <f t="shared" si="1"/>
        <v>0</v>
      </c>
      <c r="AD34" s="14"/>
      <c r="AE34" s="14"/>
      <c r="AF34" s="14"/>
      <c r="AG34" s="14"/>
      <c r="AH34" s="14"/>
      <c r="AI34" s="14">
        <f t="shared" si="5"/>
        <v>0</v>
      </c>
      <c r="AJ34" s="14">
        <f t="shared" si="6"/>
        <v>1</v>
      </c>
      <c r="AK34" s="46">
        <f t="shared" si="7"/>
        <v>2.8571428571428572</v>
      </c>
      <c r="AL34" s="37" t="str">
        <f t="shared" si="3"/>
        <v xml:space="preserve"> </v>
      </c>
      <c r="AM34" s="37">
        <f t="shared" si="4"/>
        <v>1</v>
      </c>
    </row>
    <row r="35" spans="1:39" ht="21.9" customHeight="1" x14ac:dyDescent="0.3">
      <c r="A35" s="14">
        <v>25</v>
      </c>
      <c r="B35" s="34" t="s">
        <v>240</v>
      </c>
      <c r="C35" s="14">
        <v>1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>
        <f t="shared" si="0"/>
        <v>1</v>
      </c>
      <c r="X35" s="14"/>
      <c r="Y35" s="14"/>
      <c r="Z35" s="14"/>
      <c r="AA35" s="14"/>
      <c r="AB35" s="14"/>
      <c r="AC35" s="14">
        <f t="shared" si="1"/>
        <v>0</v>
      </c>
      <c r="AD35" s="14"/>
      <c r="AE35" s="14"/>
      <c r="AF35" s="14"/>
      <c r="AG35" s="14"/>
      <c r="AH35" s="14"/>
      <c r="AI35" s="14">
        <f t="shared" si="5"/>
        <v>0</v>
      </c>
      <c r="AJ35" s="14">
        <f t="shared" si="6"/>
        <v>1</v>
      </c>
      <c r="AK35" s="46">
        <f t="shared" si="7"/>
        <v>2.8571428571428572</v>
      </c>
      <c r="AL35" s="37"/>
      <c r="AM35" s="37">
        <f t="shared" si="4"/>
        <v>1</v>
      </c>
    </row>
    <row r="36" spans="1:39" ht="21.9" customHeight="1" x14ac:dyDescent="0.3">
      <c r="A36" s="14">
        <v>26</v>
      </c>
      <c r="B36" s="34" t="s">
        <v>241</v>
      </c>
      <c r="C36" s="14">
        <v>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>
        <f t="shared" si="0"/>
        <v>1</v>
      </c>
      <c r="X36" s="14"/>
      <c r="Y36" s="14"/>
      <c r="Z36" s="14"/>
      <c r="AA36" s="14"/>
      <c r="AB36" s="14"/>
      <c r="AC36" s="14">
        <f t="shared" si="1"/>
        <v>0</v>
      </c>
      <c r="AD36" s="14"/>
      <c r="AE36" s="14"/>
      <c r="AF36" s="14"/>
      <c r="AG36" s="14"/>
      <c r="AH36" s="14"/>
      <c r="AI36" s="14">
        <f t="shared" si="5"/>
        <v>0</v>
      </c>
      <c r="AJ36" s="14">
        <f t="shared" si="6"/>
        <v>1</v>
      </c>
      <c r="AK36" s="46">
        <f t="shared" si="7"/>
        <v>2.8571428571428572</v>
      </c>
      <c r="AL36" s="37" t="str">
        <f t="shared" si="3"/>
        <v xml:space="preserve"> </v>
      </c>
      <c r="AM36" s="37">
        <f t="shared" si="4"/>
        <v>1</v>
      </c>
    </row>
    <row r="37" spans="1:39" ht="20.100000000000001" customHeight="1" x14ac:dyDescent="0.3">
      <c r="A37" s="16" t="s">
        <v>36</v>
      </c>
      <c r="B37" s="17"/>
      <c r="C37" s="31">
        <f t="shared" ref="C37:V37" si="8">SUM(C11:C36)</f>
        <v>26</v>
      </c>
      <c r="D37" s="31">
        <f t="shared" si="8"/>
        <v>1</v>
      </c>
      <c r="E37" s="31">
        <f t="shared" si="8"/>
        <v>1</v>
      </c>
      <c r="F37" s="31">
        <f t="shared" si="8"/>
        <v>2</v>
      </c>
      <c r="G37" s="31">
        <f t="shared" si="8"/>
        <v>2</v>
      </c>
      <c r="H37" s="31">
        <f t="shared" si="8"/>
        <v>2</v>
      </c>
      <c r="I37" s="31">
        <f t="shared" si="8"/>
        <v>2</v>
      </c>
      <c r="J37" s="31">
        <f t="shared" si="8"/>
        <v>2</v>
      </c>
      <c r="K37" s="31">
        <f t="shared" si="8"/>
        <v>2</v>
      </c>
      <c r="L37" s="31">
        <f t="shared" si="8"/>
        <v>2</v>
      </c>
      <c r="M37" s="31">
        <f t="shared" si="8"/>
        <v>2</v>
      </c>
      <c r="N37" s="31">
        <f t="shared" si="8"/>
        <v>2</v>
      </c>
      <c r="O37" s="31">
        <f t="shared" si="8"/>
        <v>2</v>
      </c>
      <c r="P37" s="31">
        <f t="shared" si="8"/>
        <v>2</v>
      </c>
      <c r="Q37" s="31">
        <f t="shared" si="8"/>
        <v>2</v>
      </c>
      <c r="R37" s="31">
        <f t="shared" si="8"/>
        <v>2</v>
      </c>
      <c r="S37" s="31">
        <f t="shared" si="8"/>
        <v>2</v>
      </c>
      <c r="T37" s="31">
        <f t="shared" si="8"/>
        <v>2</v>
      </c>
      <c r="U37" s="31">
        <f t="shared" si="8"/>
        <v>2</v>
      </c>
      <c r="V37" s="31">
        <f t="shared" si="8"/>
        <v>2</v>
      </c>
      <c r="W37" s="65"/>
      <c r="X37" s="31">
        <f>SUM(X11:X36)</f>
        <v>2</v>
      </c>
      <c r="Y37" s="31">
        <f>SUM(Y11:Y36)</f>
        <v>2</v>
      </c>
      <c r="Z37" s="31">
        <f>SUM(Z11:Z36)</f>
        <v>2</v>
      </c>
      <c r="AA37" s="31">
        <f>SUM(AA11:AA36)</f>
        <v>2</v>
      </c>
      <c r="AB37" s="31">
        <f>SUM(AB11:AB36)</f>
        <v>2</v>
      </c>
      <c r="AC37" s="67"/>
      <c r="AD37" s="31">
        <f>SUM(AD11:AD36)</f>
        <v>1.5</v>
      </c>
      <c r="AE37" s="31">
        <f>SUM(AE11:AE36)</f>
        <v>2</v>
      </c>
      <c r="AF37" s="31">
        <f>SUM(AF11:AF36)</f>
        <v>3</v>
      </c>
      <c r="AG37" s="31">
        <f>SUM(AG11:AG36)</f>
        <v>1.5</v>
      </c>
      <c r="AH37" s="31">
        <f>SUM(AH11:AH36)</f>
        <v>3</v>
      </c>
      <c r="AI37" s="65"/>
      <c r="AJ37" s="69">
        <f>SUM(AJ11:AJ36)</f>
        <v>83</v>
      </c>
      <c r="AK37" s="69">
        <f>SUM(AK11:AK36)</f>
        <v>237.14285714285722</v>
      </c>
      <c r="AL37" s="60">
        <f>SUM(AL11:AL36)</f>
        <v>2</v>
      </c>
      <c r="AM37" s="60">
        <f>SUM(AM11:AM36)</f>
        <v>24</v>
      </c>
    </row>
    <row r="38" spans="1:39" ht="20.100000000000001" customHeight="1" x14ac:dyDescent="0.3">
      <c r="A38" s="18" t="s">
        <v>37</v>
      </c>
      <c r="B38" s="17"/>
      <c r="C38" s="33">
        <f>C37*100/26</f>
        <v>100</v>
      </c>
      <c r="D38" s="33">
        <f t="shared" ref="D38:V38" si="9">D37*100/26</f>
        <v>3.8461538461538463</v>
      </c>
      <c r="E38" s="33">
        <f t="shared" si="9"/>
        <v>3.8461538461538463</v>
      </c>
      <c r="F38" s="33">
        <f t="shared" si="9"/>
        <v>7.6923076923076925</v>
      </c>
      <c r="G38" s="33">
        <f t="shared" si="9"/>
        <v>7.6923076923076925</v>
      </c>
      <c r="H38" s="33">
        <f t="shared" si="9"/>
        <v>7.6923076923076925</v>
      </c>
      <c r="I38" s="33">
        <f t="shared" si="9"/>
        <v>7.6923076923076925</v>
      </c>
      <c r="J38" s="33">
        <f t="shared" si="9"/>
        <v>7.6923076923076925</v>
      </c>
      <c r="K38" s="33">
        <f t="shared" si="9"/>
        <v>7.6923076923076925</v>
      </c>
      <c r="L38" s="33">
        <f t="shared" si="9"/>
        <v>7.6923076923076925</v>
      </c>
      <c r="M38" s="33">
        <f t="shared" si="9"/>
        <v>7.6923076923076925</v>
      </c>
      <c r="N38" s="33">
        <f t="shared" si="9"/>
        <v>7.6923076923076925</v>
      </c>
      <c r="O38" s="33">
        <f t="shared" si="9"/>
        <v>7.6923076923076925</v>
      </c>
      <c r="P38" s="33">
        <f t="shared" si="9"/>
        <v>7.6923076923076925</v>
      </c>
      <c r="Q38" s="33">
        <f t="shared" si="9"/>
        <v>7.6923076923076925</v>
      </c>
      <c r="R38" s="33">
        <f t="shared" si="9"/>
        <v>7.6923076923076925</v>
      </c>
      <c r="S38" s="33">
        <f t="shared" si="9"/>
        <v>7.6923076923076925</v>
      </c>
      <c r="T38" s="33">
        <f t="shared" si="9"/>
        <v>7.6923076923076925</v>
      </c>
      <c r="U38" s="33">
        <f t="shared" si="9"/>
        <v>7.6923076923076925</v>
      </c>
      <c r="V38" s="33">
        <f t="shared" si="9"/>
        <v>7.6923076923076925</v>
      </c>
      <c r="W38" s="66"/>
      <c r="X38" s="33">
        <f>X37*100/26</f>
        <v>7.6923076923076925</v>
      </c>
      <c r="Y38" s="33">
        <f t="shared" ref="Y38:AB38" si="10">Y37*100/26</f>
        <v>7.6923076923076925</v>
      </c>
      <c r="Z38" s="33">
        <f t="shared" si="10"/>
        <v>7.6923076923076925</v>
      </c>
      <c r="AA38" s="33">
        <f t="shared" si="10"/>
        <v>7.6923076923076925</v>
      </c>
      <c r="AB38" s="33">
        <f t="shared" si="10"/>
        <v>7.6923076923076925</v>
      </c>
      <c r="AC38" s="68"/>
      <c r="AD38" s="33">
        <f>AD37*100/26</f>
        <v>5.7692307692307692</v>
      </c>
      <c r="AE38" s="33">
        <f t="shared" ref="AE38:AH38" si="11">AE37*100/26</f>
        <v>7.6923076923076925</v>
      </c>
      <c r="AF38" s="33">
        <f t="shared" si="11"/>
        <v>11.538461538461538</v>
      </c>
      <c r="AG38" s="33">
        <f t="shared" si="11"/>
        <v>5.7692307692307692</v>
      </c>
      <c r="AH38" s="33">
        <f t="shared" si="11"/>
        <v>11.538461538461538</v>
      </c>
      <c r="AI38" s="66"/>
      <c r="AJ38" s="70"/>
      <c r="AK38" s="70"/>
      <c r="AL38" s="61"/>
      <c r="AM38" s="61"/>
    </row>
    <row r="40" spans="1:39" ht="20.100000000000001" customHeight="1" x14ac:dyDescent="0.3">
      <c r="A40" s="20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3"/>
      <c r="AK40" s="23"/>
      <c r="AL40" s="24"/>
    </row>
    <row r="41" spans="1:39" ht="20.100000000000001" customHeight="1" x14ac:dyDescent="0.3">
      <c r="A41" s="25"/>
      <c r="B41" s="26"/>
      <c r="C41" s="39" t="s">
        <v>38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 t="s">
        <v>215</v>
      </c>
      <c r="AF41" s="26"/>
      <c r="AG41" s="26"/>
      <c r="AH41" s="26"/>
      <c r="AI41" s="26"/>
      <c r="AJ41" s="26"/>
      <c r="AK41" s="26"/>
      <c r="AL41" s="25"/>
    </row>
    <row r="42" spans="1:39" ht="20.100000000000001" customHeight="1" x14ac:dyDescent="0.3">
      <c r="A42" s="25"/>
      <c r="B42" s="26"/>
      <c r="C42" s="26" t="s">
        <v>39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45"/>
      <c r="X42" s="45"/>
      <c r="Y42" s="45"/>
      <c r="Z42" s="45"/>
      <c r="AA42" s="45"/>
      <c r="AB42" s="45"/>
      <c r="AC42" s="45"/>
      <c r="AD42" s="26"/>
      <c r="AE42" s="26" t="s">
        <v>214</v>
      </c>
      <c r="AF42" s="26"/>
      <c r="AG42" s="26"/>
      <c r="AH42" s="26"/>
      <c r="AI42" s="26"/>
      <c r="AJ42" s="26"/>
      <c r="AK42" s="26"/>
      <c r="AL42" s="25"/>
    </row>
    <row r="43" spans="1:39" ht="20.100000000000001" customHeight="1" x14ac:dyDescent="0.3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45"/>
      <c r="AD43" s="45"/>
      <c r="AE43" s="45"/>
      <c r="AF43" s="26"/>
      <c r="AG43" s="26"/>
      <c r="AH43" s="26"/>
      <c r="AI43" s="26"/>
      <c r="AJ43" s="26"/>
      <c r="AK43" s="26"/>
      <c r="AL43" s="25"/>
    </row>
    <row r="44" spans="1:39" ht="20.100000000000001" customHeight="1" x14ac:dyDescent="0.3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5"/>
    </row>
    <row r="45" spans="1:39" ht="20.100000000000001" customHeight="1" x14ac:dyDescent="0.3">
      <c r="A45" s="25"/>
      <c r="B45" s="26"/>
      <c r="C45" s="28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5"/>
    </row>
    <row r="46" spans="1:39" ht="20.100000000000001" customHeight="1" x14ac:dyDescent="0.3">
      <c r="A46" s="25"/>
      <c r="B46" s="26"/>
      <c r="C46" s="28" t="s">
        <v>40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9"/>
      <c r="X46" s="29"/>
      <c r="Y46" s="29"/>
      <c r="Z46" s="29"/>
      <c r="AA46" s="29"/>
      <c r="AB46" s="29"/>
      <c r="AC46" s="26"/>
      <c r="AD46" s="39"/>
      <c r="AE46" s="29" t="s">
        <v>68</v>
      </c>
      <c r="AF46" s="26"/>
      <c r="AG46" s="26"/>
      <c r="AH46" s="26"/>
      <c r="AI46" s="26"/>
      <c r="AJ46" s="26"/>
      <c r="AK46" s="26"/>
      <c r="AL46" s="25"/>
    </row>
  </sheetData>
  <mergeCells count="17">
    <mergeCell ref="AM37:AM38"/>
    <mergeCell ref="W37:W38"/>
    <mergeCell ref="AC37:AC38"/>
    <mergeCell ref="AI37:AI38"/>
    <mergeCell ref="AJ37:AJ38"/>
    <mergeCell ref="AK37:AK38"/>
    <mergeCell ref="AL37:AL38"/>
    <mergeCell ref="AO13:AO14"/>
    <mergeCell ref="A1:AM1"/>
    <mergeCell ref="A2:AM2"/>
    <mergeCell ref="A8:A9"/>
    <mergeCell ref="B8:B9"/>
    <mergeCell ref="C8:V8"/>
    <mergeCell ref="X8:AB8"/>
    <mergeCell ref="AD8:AH8"/>
    <mergeCell ref="AK8:AK9"/>
    <mergeCell ref="AL8:AM8"/>
  </mergeCells>
  <pageMargins left="0" right="0" top="0" bottom="0" header="0.31496062992125984" footer="0.31496062992125984"/>
  <pageSetup paperSize="14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1CA4-BF34-4921-91B7-5D264B2B7DF4}">
  <dimension ref="A1:AO46"/>
  <sheetViews>
    <sheetView zoomScale="55" zoomScaleNormal="55" workbookViewId="0">
      <selection activeCell="AL8" sqref="AL8:AM8"/>
    </sheetView>
  </sheetViews>
  <sheetFormatPr defaultColWidth="9.109375" defaultRowHeight="13.8" x14ac:dyDescent="0.3"/>
  <cols>
    <col min="1" max="1" width="4.44140625" style="1" customWidth="1"/>
    <col min="2" max="2" width="41.109375" style="1" bestFit="1" customWidth="1"/>
    <col min="3" max="3" width="4.6640625" style="1" customWidth="1"/>
    <col min="4" max="22" width="3.6640625" style="1" customWidth="1"/>
    <col min="23" max="23" width="9.109375" style="13"/>
    <col min="24" max="28" width="4.6640625" style="1" customWidth="1"/>
    <col min="29" max="29" width="9.109375" style="13"/>
    <col min="30" max="34" width="4.6640625" style="1" customWidth="1"/>
    <col min="35" max="36" width="9.109375" style="1"/>
    <col min="37" max="37" width="11.21875" style="1" customWidth="1"/>
    <col min="38" max="40" width="9.109375" style="1"/>
    <col min="41" max="41" width="87.5546875" style="1" bestFit="1" customWidth="1"/>
    <col min="42" max="16384" width="9.109375" style="1"/>
  </cols>
  <sheetData>
    <row r="1" spans="1:41" ht="20.100000000000001" customHeight="1" x14ac:dyDescent="0.3">
      <c r="A1" s="54" t="s">
        <v>212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41" ht="20.100000000000001" customHeight="1" x14ac:dyDescent="0.3">
      <c r="A2" s="55" t="s">
        <v>213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1" ht="20.100000000000001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  <c r="X3" s="10"/>
      <c r="Y3" s="10"/>
      <c r="Z3" s="10"/>
      <c r="AA3" s="10"/>
      <c r="AB3" s="10"/>
      <c r="AC3" s="19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ht="20.100000000000001" customHeight="1" x14ac:dyDescent="0.3">
      <c r="A4" s="2"/>
      <c r="B4" s="9" t="s">
        <v>0</v>
      </c>
      <c r="C4" s="2"/>
      <c r="D4" s="9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  <c r="X4" s="10"/>
      <c r="Y4" s="10"/>
      <c r="Z4" s="10"/>
      <c r="AA4" s="10"/>
      <c r="AB4" s="10"/>
      <c r="AC4" s="19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20.100000000000001" customHeight="1" x14ac:dyDescent="0.3">
      <c r="A5" s="2"/>
      <c r="B5" s="9" t="s">
        <v>2</v>
      </c>
      <c r="C5" s="2"/>
      <c r="D5" s="11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  <c r="X5" s="10"/>
      <c r="Y5" s="10"/>
      <c r="Z5" s="10"/>
      <c r="AA5" s="10"/>
      <c r="AB5" s="10"/>
      <c r="AC5" s="19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1" ht="20.100000000000001" customHeight="1" x14ac:dyDescent="0.3">
      <c r="A6" s="2"/>
      <c r="B6" s="9" t="s">
        <v>3</v>
      </c>
      <c r="C6" s="2"/>
      <c r="D6" s="11" t="s">
        <v>92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  <c r="X6" s="10"/>
      <c r="Y6" s="10"/>
      <c r="Z6" s="10"/>
      <c r="AA6" s="10"/>
      <c r="AB6" s="10"/>
      <c r="AC6" s="19"/>
      <c r="AD6" s="2"/>
      <c r="AE6" s="2"/>
      <c r="AF6" s="2"/>
      <c r="AG6" s="2"/>
      <c r="AH6" s="2"/>
      <c r="AI6" s="2"/>
      <c r="AJ6" s="2"/>
      <c r="AK6" s="2"/>
      <c r="AL6" s="2"/>
      <c r="AM6" s="2"/>
    </row>
    <row r="8" spans="1:41" ht="30" customHeight="1" x14ac:dyDescent="0.3">
      <c r="A8" s="60" t="s">
        <v>4</v>
      </c>
      <c r="B8" s="60" t="s">
        <v>5</v>
      </c>
      <c r="C8" s="62" t="s">
        <v>6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40" t="s">
        <v>7</v>
      </c>
      <c r="X8" s="62" t="s">
        <v>8</v>
      </c>
      <c r="Y8" s="63"/>
      <c r="Z8" s="63"/>
      <c r="AA8" s="63"/>
      <c r="AB8" s="63"/>
      <c r="AC8" s="40" t="s">
        <v>7</v>
      </c>
      <c r="AD8" s="62" t="s">
        <v>42</v>
      </c>
      <c r="AE8" s="63"/>
      <c r="AF8" s="63"/>
      <c r="AG8" s="63"/>
      <c r="AH8" s="64"/>
      <c r="AI8" s="40" t="s">
        <v>7</v>
      </c>
      <c r="AJ8" s="40" t="s">
        <v>9</v>
      </c>
      <c r="AK8" s="56" t="s">
        <v>10</v>
      </c>
      <c r="AL8" s="58" t="s">
        <v>280</v>
      </c>
      <c r="AM8" s="59"/>
    </row>
    <row r="9" spans="1:41" ht="20.100000000000001" customHeight="1" x14ac:dyDescent="0.3">
      <c r="A9" s="61"/>
      <c r="B9" s="61"/>
      <c r="C9" s="30" t="s">
        <v>11</v>
      </c>
      <c r="D9" s="30" t="s">
        <v>12</v>
      </c>
      <c r="E9" s="30" t="s">
        <v>13</v>
      </c>
      <c r="F9" s="30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30" t="s">
        <v>21</v>
      </c>
      <c r="N9" s="30" t="s">
        <v>22</v>
      </c>
      <c r="O9" s="30" t="s">
        <v>23</v>
      </c>
      <c r="P9" s="30" t="s">
        <v>24</v>
      </c>
      <c r="Q9" s="30" t="s">
        <v>25</v>
      </c>
      <c r="R9" s="30" t="s">
        <v>26</v>
      </c>
      <c r="S9" s="30" t="s">
        <v>27</v>
      </c>
      <c r="T9" s="30" t="s">
        <v>28</v>
      </c>
      <c r="U9" s="30" t="s">
        <v>29</v>
      </c>
      <c r="V9" s="30" t="s">
        <v>30</v>
      </c>
      <c r="W9" s="5" t="s">
        <v>31</v>
      </c>
      <c r="X9" s="6">
        <v>1</v>
      </c>
      <c r="Y9" s="6">
        <v>2</v>
      </c>
      <c r="Z9" s="6">
        <v>3</v>
      </c>
      <c r="AA9" s="6">
        <v>4</v>
      </c>
      <c r="AB9" s="6">
        <v>5</v>
      </c>
      <c r="AC9" s="5" t="s">
        <v>31</v>
      </c>
      <c r="AD9" s="6">
        <v>1</v>
      </c>
      <c r="AE9" s="6">
        <v>2</v>
      </c>
      <c r="AF9" s="6">
        <v>3</v>
      </c>
      <c r="AG9" s="6">
        <v>4</v>
      </c>
      <c r="AH9" s="6">
        <v>5</v>
      </c>
      <c r="AI9" s="5" t="s">
        <v>32</v>
      </c>
      <c r="AJ9" s="38"/>
      <c r="AK9" s="57"/>
      <c r="AL9" s="7" t="s">
        <v>33</v>
      </c>
      <c r="AM9" s="7" t="s">
        <v>34</v>
      </c>
    </row>
    <row r="10" spans="1:41" ht="6.9" customHeight="1" thickBot="1" x14ac:dyDescent="0.35">
      <c r="A10" s="8"/>
      <c r="B10" s="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15"/>
      <c r="X10" s="8"/>
      <c r="Y10" s="8"/>
      <c r="Z10" s="8"/>
      <c r="AA10" s="8"/>
      <c r="AB10" s="8"/>
      <c r="AC10" s="15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41" ht="21.9" customHeight="1" thickTop="1" x14ac:dyDescent="0.3">
      <c r="A11" s="14">
        <v>1</v>
      </c>
      <c r="B11" s="34" t="s">
        <v>242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f t="shared" ref="W11:W36" si="0">SUM(C11:V11)</f>
        <v>20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f>SUM(X11:AB11)</f>
        <v>5</v>
      </c>
      <c r="AD11" s="14">
        <v>2</v>
      </c>
      <c r="AE11" s="14">
        <v>2</v>
      </c>
      <c r="AF11" s="14">
        <v>2</v>
      </c>
      <c r="AG11" s="14">
        <v>2</v>
      </c>
      <c r="AH11" s="14">
        <v>2</v>
      </c>
      <c r="AI11" s="14">
        <f>SUM(AD11:AH11)*1</f>
        <v>10</v>
      </c>
      <c r="AJ11" s="14">
        <f>SUM(W11,AC11,AI11)</f>
        <v>35</v>
      </c>
      <c r="AK11" s="46">
        <f>AJ11*100/35</f>
        <v>100</v>
      </c>
      <c r="AL11" s="37">
        <f>IF(AK11&gt;70,1," ")</f>
        <v>1</v>
      </c>
      <c r="AM11" s="37" t="str">
        <f>IF(AK11&lt;70,1," ")</f>
        <v xml:space="preserve"> </v>
      </c>
      <c r="AO11" s="41" t="s">
        <v>183</v>
      </c>
    </row>
    <row r="12" spans="1:41" ht="21.9" customHeight="1" x14ac:dyDescent="0.3">
      <c r="A12" s="14">
        <v>2</v>
      </c>
      <c r="B12" s="34" t="s">
        <v>243</v>
      </c>
      <c r="C12" s="14">
        <v>1</v>
      </c>
      <c r="D12" s="14">
        <v>0</v>
      </c>
      <c r="E12" s="14">
        <v>1</v>
      </c>
      <c r="F12" s="14">
        <v>0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f t="shared" si="0"/>
        <v>18</v>
      </c>
      <c r="X12" s="14">
        <v>0</v>
      </c>
      <c r="Y12" s="14">
        <v>0</v>
      </c>
      <c r="Z12" s="14">
        <v>0</v>
      </c>
      <c r="AA12" s="14">
        <v>0</v>
      </c>
      <c r="AB12" s="14">
        <v>1</v>
      </c>
      <c r="AC12" s="14">
        <f t="shared" ref="AC12:AC36" si="1">SUM(X12:AB12)</f>
        <v>1</v>
      </c>
      <c r="AD12" s="14">
        <v>1</v>
      </c>
      <c r="AE12" s="14">
        <v>1</v>
      </c>
      <c r="AF12" s="14">
        <v>1</v>
      </c>
      <c r="AG12" s="14">
        <v>1</v>
      </c>
      <c r="AH12" s="14">
        <v>2</v>
      </c>
      <c r="AI12" s="14">
        <f>SUM(AD12:AH12)*1</f>
        <v>6</v>
      </c>
      <c r="AJ12" s="14">
        <f>SUM(W12,AC12,AI12)</f>
        <v>25</v>
      </c>
      <c r="AK12" s="46">
        <f>AJ12*100/35</f>
        <v>71.428571428571431</v>
      </c>
      <c r="AL12" s="37">
        <f t="shared" ref="AL12:AL36" si="2">IF(AK12&gt;70,1," ")</f>
        <v>1</v>
      </c>
      <c r="AM12" s="37" t="str">
        <f t="shared" ref="AM12:AM36" si="3">IF(AK12&lt;70,1," ")</f>
        <v xml:space="preserve"> </v>
      </c>
      <c r="AO12" s="42" t="s">
        <v>268</v>
      </c>
    </row>
    <row r="13" spans="1:41" ht="21.9" customHeight="1" x14ac:dyDescent="0.3">
      <c r="A13" s="14">
        <v>3</v>
      </c>
      <c r="B13" s="44" t="s">
        <v>244</v>
      </c>
      <c r="C13" s="14">
        <v>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>
        <f t="shared" si="0"/>
        <v>1</v>
      </c>
      <c r="X13" s="14"/>
      <c r="Y13" s="14"/>
      <c r="Z13" s="14"/>
      <c r="AA13" s="14"/>
      <c r="AB13" s="14"/>
      <c r="AC13" s="14">
        <f t="shared" si="1"/>
        <v>0</v>
      </c>
      <c r="AD13" s="14"/>
      <c r="AE13" s="14"/>
      <c r="AF13" s="14"/>
      <c r="AG13" s="14"/>
      <c r="AH13" s="14"/>
      <c r="AI13" s="14">
        <f t="shared" ref="AI13:AI36" si="4">SUM(AD13:AH13)*1</f>
        <v>0</v>
      </c>
      <c r="AJ13" s="14">
        <f t="shared" ref="AJ13:AJ36" si="5">SUM(W13,AC13,AI13)</f>
        <v>1</v>
      </c>
      <c r="AK13" s="46">
        <f t="shared" ref="AK13:AK36" si="6">AJ13*100/35</f>
        <v>2.8571428571428572</v>
      </c>
      <c r="AL13" s="37" t="str">
        <f t="shared" si="2"/>
        <v xml:space="preserve"> </v>
      </c>
      <c r="AM13" s="37">
        <f t="shared" si="3"/>
        <v>1</v>
      </c>
      <c r="AO13" s="53" t="s">
        <v>275</v>
      </c>
    </row>
    <row r="14" spans="1:41" ht="21.9" customHeight="1" x14ac:dyDescent="0.3">
      <c r="A14" s="14">
        <v>4</v>
      </c>
      <c r="B14" s="34" t="s">
        <v>245</v>
      </c>
      <c r="C14" s="14">
        <v>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>
        <f t="shared" si="0"/>
        <v>1</v>
      </c>
      <c r="X14" s="14"/>
      <c r="Y14" s="14"/>
      <c r="Z14" s="14"/>
      <c r="AA14" s="14"/>
      <c r="AB14" s="14"/>
      <c r="AC14" s="14">
        <f t="shared" si="1"/>
        <v>0</v>
      </c>
      <c r="AD14" s="14"/>
      <c r="AE14" s="14"/>
      <c r="AF14" s="14"/>
      <c r="AG14" s="14"/>
      <c r="AH14" s="14"/>
      <c r="AI14" s="14">
        <f t="shared" si="4"/>
        <v>0</v>
      </c>
      <c r="AJ14" s="14">
        <f t="shared" si="5"/>
        <v>1</v>
      </c>
      <c r="AK14" s="46">
        <f t="shared" si="6"/>
        <v>2.8571428571428572</v>
      </c>
      <c r="AL14" s="37" t="str">
        <f t="shared" si="2"/>
        <v xml:space="preserve"> </v>
      </c>
      <c r="AM14" s="37">
        <f t="shared" si="3"/>
        <v>1</v>
      </c>
      <c r="AO14" s="53"/>
    </row>
    <row r="15" spans="1:41" ht="21.9" customHeight="1" x14ac:dyDescent="0.3">
      <c r="A15" s="14">
        <v>5</v>
      </c>
      <c r="B15" s="34" t="s">
        <v>246</v>
      </c>
      <c r="C15" s="14">
        <v>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>
        <f t="shared" si="0"/>
        <v>1</v>
      </c>
      <c r="X15" s="14"/>
      <c r="Y15" s="14"/>
      <c r="Z15" s="14"/>
      <c r="AA15" s="14"/>
      <c r="AB15" s="14"/>
      <c r="AC15" s="14">
        <f t="shared" si="1"/>
        <v>0</v>
      </c>
      <c r="AD15" s="14"/>
      <c r="AE15" s="14"/>
      <c r="AF15" s="14"/>
      <c r="AG15" s="14"/>
      <c r="AH15" s="14"/>
      <c r="AI15" s="14">
        <f t="shared" si="4"/>
        <v>0</v>
      </c>
      <c r="AJ15" s="14">
        <f t="shared" si="5"/>
        <v>1</v>
      </c>
      <c r="AK15" s="46">
        <f t="shared" si="6"/>
        <v>2.8571428571428572</v>
      </c>
      <c r="AL15" s="37" t="str">
        <f t="shared" si="2"/>
        <v xml:space="preserve"> </v>
      </c>
      <c r="AM15" s="37">
        <f t="shared" si="3"/>
        <v>1</v>
      </c>
      <c r="AO15" s="50" t="s">
        <v>276</v>
      </c>
    </row>
    <row r="16" spans="1:41" ht="21.9" customHeight="1" x14ac:dyDescent="0.3">
      <c r="A16" s="14">
        <v>6</v>
      </c>
      <c r="B16" s="44" t="s">
        <v>247</v>
      </c>
      <c r="C16" s="14">
        <v>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>
        <f t="shared" si="0"/>
        <v>1</v>
      </c>
      <c r="X16" s="14"/>
      <c r="Y16" s="14"/>
      <c r="Z16" s="14"/>
      <c r="AA16" s="14"/>
      <c r="AB16" s="14"/>
      <c r="AC16" s="14">
        <f t="shared" si="1"/>
        <v>0</v>
      </c>
      <c r="AD16" s="14"/>
      <c r="AE16" s="14"/>
      <c r="AF16" s="14"/>
      <c r="AG16" s="14"/>
      <c r="AH16" s="14"/>
      <c r="AI16" s="14">
        <f t="shared" si="4"/>
        <v>0</v>
      </c>
      <c r="AJ16" s="14">
        <f t="shared" si="5"/>
        <v>1</v>
      </c>
      <c r="AK16" s="46">
        <f t="shared" si="6"/>
        <v>2.8571428571428572</v>
      </c>
      <c r="AL16" s="37" t="str">
        <f t="shared" si="2"/>
        <v xml:space="preserve"> </v>
      </c>
      <c r="AM16" s="37">
        <f t="shared" si="3"/>
        <v>1</v>
      </c>
      <c r="AO16" s="51" t="s">
        <v>277</v>
      </c>
    </row>
    <row r="17" spans="1:41" ht="21.9" customHeight="1" x14ac:dyDescent="0.3">
      <c r="A17" s="14">
        <v>7</v>
      </c>
      <c r="B17" s="44" t="s">
        <v>248</v>
      </c>
      <c r="C17" s="14">
        <v>1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>
        <f t="shared" si="0"/>
        <v>1</v>
      </c>
      <c r="X17" s="14"/>
      <c r="Y17" s="14"/>
      <c r="Z17" s="14"/>
      <c r="AA17" s="14"/>
      <c r="AB17" s="14"/>
      <c r="AC17" s="14">
        <f t="shared" si="1"/>
        <v>0</v>
      </c>
      <c r="AD17" s="14"/>
      <c r="AE17" s="14"/>
      <c r="AF17" s="14"/>
      <c r="AG17" s="14"/>
      <c r="AH17" s="14"/>
      <c r="AI17" s="14">
        <f t="shared" si="4"/>
        <v>0</v>
      </c>
      <c r="AJ17" s="14">
        <f t="shared" si="5"/>
        <v>1</v>
      </c>
      <c r="AK17" s="46">
        <f t="shared" si="6"/>
        <v>2.8571428571428572</v>
      </c>
      <c r="AL17" s="37" t="str">
        <f t="shared" si="2"/>
        <v xml:space="preserve"> </v>
      </c>
      <c r="AM17" s="37">
        <f t="shared" si="3"/>
        <v>1</v>
      </c>
      <c r="AO17" s="51" t="s">
        <v>278</v>
      </c>
    </row>
    <row r="18" spans="1:41" ht="21.9" customHeight="1" thickBot="1" x14ac:dyDescent="0.35">
      <c r="A18" s="14">
        <v>8</v>
      </c>
      <c r="B18" s="34" t="s">
        <v>249</v>
      </c>
      <c r="C18" s="14">
        <v>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>
        <f t="shared" si="0"/>
        <v>1</v>
      </c>
      <c r="X18" s="14"/>
      <c r="Y18" s="14"/>
      <c r="Z18" s="14"/>
      <c r="AA18" s="14"/>
      <c r="AB18" s="14"/>
      <c r="AC18" s="14">
        <f t="shared" si="1"/>
        <v>0</v>
      </c>
      <c r="AD18" s="14"/>
      <c r="AE18" s="14"/>
      <c r="AF18" s="14"/>
      <c r="AG18" s="14"/>
      <c r="AH18" s="14"/>
      <c r="AI18" s="14">
        <f t="shared" si="4"/>
        <v>0</v>
      </c>
      <c r="AJ18" s="14">
        <f t="shared" si="5"/>
        <v>1</v>
      </c>
      <c r="AK18" s="46">
        <f t="shared" si="6"/>
        <v>2.8571428571428572</v>
      </c>
      <c r="AL18" s="37" t="str">
        <f t="shared" si="2"/>
        <v xml:space="preserve"> </v>
      </c>
      <c r="AM18" s="37">
        <f t="shared" si="3"/>
        <v>1</v>
      </c>
      <c r="AO18" s="52" t="s">
        <v>279</v>
      </c>
    </row>
    <row r="19" spans="1:41" ht="21.9" customHeight="1" thickTop="1" x14ac:dyDescent="0.3">
      <c r="A19" s="14">
        <v>9</v>
      </c>
      <c r="B19" s="34" t="s">
        <v>250</v>
      </c>
      <c r="C19" s="14">
        <v>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>
        <f t="shared" si="0"/>
        <v>1</v>
      </c>
      <c r="X19" s="14"/>
      <c r="Y19" s="14"/>
      <c r="Z19" s="14"/>
      <c r="AA19" s="14"/>
      <c r="AB19" s="14"/>
      <c r="AC19" s="14">
        <f t="shared" si="1"/>
        <v>0</v>
      </c>
      <c r="AD19" s="14"/>
      <c r="AE19" s="14"/>
      <c r="AF19" s="14"/>
      <c r="AG19" s="14"/>
      <c r="AH19" s="14"/>
      <c r="AI19" s="14">
        <f t="shared" si="4"/>
        <v>0</v>
      </c>
      <c r="AJ19" s="14">
        <f t="shared" si="5"/>
        <v>1</v>
      </c>
      <c r="AK19" s="46">
        <f t="shared" si="6"/>
        <v>2.8571428571428572</v>
      </c>
      <c r="AL19" s="37" t="str">
        <f t="shared" si="2"/>
        <v xml:space="preserve"> </v>
      </c>
      <c r="AM19" s="37">
        <f t="shared" si="3"/>
        <v>1</v>
      </c>
    </row>
    <row r="20" spans="1:41" ht="21.9" customHeight="1" x14ac:dyDescent="0.3">
      <c r="A20" s="14">
        <v>10</v>
      </c>
      <c r="B20" s="34" t="s">
        <v>251</v>
      </c>
      <c r="C20" s="14">
        <v>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>
        <f t="shared" si="0"/>
        <v>1</v>
      </c>
      <c r="X20" s="14"/>
      <c r="Y20" s="14"/>
      <c r="Z20" s="14"/>
      <c r="AA20" s="14"/>
      <c r="AB20" s="14"/>
      <c r="AC20" s="14">
        <f t="shared" si="1"/>
        <v>0</v>
      </c>
      <c r="AD20" s="14"/>
      <c r="AE20" s="14"/>
      <c r="AF20" s="14"/>
      <c r="AG20" s="14"/>
      <c r="AH20" s="14"/>
      <c r="AI20" s="14">
        <f t="shared" si="4"/>
        <v>0</v>
      </c>
      <c r="AJ20" s="14">
        <f t="shared" si="5"/>
        <v>1</v>
      </c>
      <c r="AK20" s="46">
        <f t="shared" si="6"/>
        <v>2.8571428571428572</v>
      </c>
      <c r="AL20" s="37" t="str">
        <f t="shared" si="2"/>
        <v xml:space="preserve"> </v>
      </c>
      <c r="AM20" s="37">
        <f t="shared" si="3"/>
        <v>1</v>
      </c>
    </row>
    <row r="21" spans="1:41" ht="21.9" customHeight="1" x14ac:dyDescent="0.3">
      <c r="A21" s="14">
        <v>11</v>
      </c>
      <c r="B21" s="34" t="s">
        <v>252</v>
      </c>
      <c r="C21" s="14">
        <v>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>
        <f t="shared" si="0"/>
        <v>1</v>
      </c>
      <c r="X21" s="14"/>
      <c r="Y21" s="14"/>
      <c r="Z21" s="14"/>
      <c r="AA21" s="14"/>
      <c r="AB21" s="14"/>
      <c r="AC21" s="14">
        <f t="shared" si="1"/>
        <v>0</v>
      </c>
      <c r="AD21" s="14"/>
      <c r="AE21" s="14"/>
      <c r="AF21" s="14"/>
      <c r="AG21" s="14"/>
      <c r="AH21" s="14"/>
      <c r="AI21" s="14">
        <f t="shared" si="4"/>
        <v>0</v>
      </c>
      <c r="AJ21" s="14">
        <f t="shared" si="5"/>
        <v>1</v>
      </c>
      <c r="AK21" s="46">
        <f t="shared" si="6"/>
        <v>2.8571428571428572</v>
      </c>
      <c r="AL21" s="37" t="str">
        <f t="shared" si="2"/>
        <v xml:space="preserve"> </v>
      </c>
      <c r="AM21" s="37">
        <f t="shared" si="3"/>
        <v>1</v>
      </c>
    </row>
    <row r="22" spans="1:41" ht="21.9" customHeight="1" x14ac:dyDescent="0.3">
      <c r="A22" s="14">
        <v>12</v>
      </c>
      <c r="B22" s="44" t="s">
        <v>253</v>
      </c>
      <c r="C22" s="14">
        <v>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>
        <f t="shared" si="0"/>
        <v>1</v>
      </c>
      <c r="X22" s="14"/>
      <c r="Y22" s="14"/>
      <c r="Z22" s="14"/>
      <c r="AA22" s="14"/>
      <c r="AB22" s="14"/>
      <c r="AC22" s="14">
        <f t="shared" si="1"/>
        <v>0</v>
      </c>
      <c r="AD22" s="14"/>
      <c r="AE22" s="14"/>
      <c r="AF22" s="14"/>
      <c r="AG22" s="14"/>
      <c r="AH22" s="14"/>
      <c r="AI22" s="14">
        <f t="shared" si="4"/>
        <v>0</v>
      </c>
      <c r="AJ22" s="14">
        <f t="shared" si="5"/>
        <v>1</v>
      </c>
      <c r="AK22" s="46">
        <f t="shared" si="6"/>
        <v>2.8571428571428572</v>
      </c>
      <c r="AL22" s="37" t="str">
        <f t="shared" si="2"/>
        <v xml:space="preserve"> </v>
      </c>
      <c r="AM22" s="37">
        <f t="shared" si="3"/>
        <v>1</v>
      </c>
    </row>
    <row r="23" spans="1:41" ht="21.9" customHeight="1" x14ac:dyDescent="0.3">
      <c r="A23" s="14">
        <v>13</v>
      </c>
      <c r="B23" s="34" t="s">
        <v>254</v>
      </c>
      <c r="C23" s="14">
        <v>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>
        <f t="shared" si="0"/>
        <v>1</v>
      </c>
      <c r="X23" s="14"/>
      <c r="Y23" s="14"/>
      <c r="Z23" s="14"/>
      <c r="AA23" s="14"/>
      <c r="AB23" s="14"/>
      <c r="AC23" s="14">
        <f t="shared" si="1"/>
        <v>0</v>
      </c>
      <c r="AD23" s="14"/>
      <c r="AE23" s="14"/>
      <c r="AF23" s="14"/>
      <c r="AG23" s="14"/>
      <c r="AH23" s="14"/>
      <c r="AI23" s="14">
        <f t="shared" si="4"/>
        <v>0</v>
      </c>
      <c r="AJ23" s="14">
        <f t="shared" si="5"/>
        <v>1</v>
      </c>
      <c r="AK23" s="46">
        <f t="shared" si="6"/>
        <v>2.8571428571428572</v>
      </c>
      <c r="AL23" s="37" t="str">
        <f t="shared" si="2"/>
        <v xml:space="preserve"> </v>
      </c>
      <c r="AM23" s="37">
        <f t="shared" si="3"/>
        <v>1</v>
      </c>
    </row>
    <row r="24" spans="1:41" ht="21.9" customHeight="1" x14ac:dyDescent="0.3">
      <c r="A24" s="14">
        <v>14</v>
      </c>
      <c r="B24" s="34" t="s">
        <v>255</v>
      </c>
      <c r="C24" s="14">
        <v>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>
        <f t="shared" si="0"/>
        <v>1</v>
      </c>
      <c r="X24" s="14"/>
      <c r="Y24" s="14"/>
      <c r="Z24" s="14"/>
      <c r="AA24" s="14"/>
      <c r="AB24" s="14"/>
      <c r="AC24" s="14">
        <f t="shared" si="1"/>
        <v>0</v>
      </c>
      <c r="AD24" s="14"/>
      <c r="AE24" s="14"/>
      <c r="AF24" s="14"/>
      <c r="AG24" s="14"/>
      <c r="AH24" s="14"/>
      <c r="AI24" s="14">
        <f t="shared" si="4"/>
        <v>0</v>
      </c>
      <c r="AJ24" s="14">
        <f t="shared" si="5"/>
        <v>1</v>
      </c>
      <c r="AK24" s="46">
        <f t="shared" si="6"/>
        <v>2.8571428571428572</v>
      </c>
      <c r="AL24" s="37" t="str">
        <f t="shared" si="2"/>
        <v xml:space="preserve"> </v>
      </c>
      <c r="AM24" s="37">
        <f t="shared" si="3"/>
        <v>1</v>
      </c>
    </row>
    <row r="25" spans="1:41" ht="21.9" customHeight="1" x14ac:dyDescent="0.3">
      <c r="A25" s="14">
        <v>15</v>
      </c>
      <c r="B25" s="34" t="s">
        <v>256</v>
      </c>
      <c r="C25" s="14">
        <v>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>
        <f t="shared" si="0"/>
        <v>1</v>
      </c>
      <c r="X25" s="14"/>
      <c r="Y25" s="14"/>
      <c r="Z25" s="14"/>
      <c r="AA25" s="14"/>
      <c r="AB25" s="14"/>
      <c r="AC25" s="14">
        <f t="shared" si="1"/>
        <v>0</v>
      </c>
      <c r="AD25" s="14"/>
      <c r="AE25" s="14"/>
      <c r="AF25" s="14"/>
      <c r="AG25" s="14"/>
      <c r="AH25" s="14"/>
      <c r="AI25" s="14">
        <f t="shared" si="4"/>
        <v>0</v>
      </c>
      <c r="AJ25" s="14">
        <f t="shared" si="5"/>
        <v>1</v>
      </c>
      <c r="AK25" s="46">
        <f t="shared" si="6"/>
        <v>2.8571428571428572</v>
      </c>
      <c r="AL25" s="37" t="str">
        <f t="shared" si="2"/>
        <v xml:space="preserve"> </v>
      </c>
      <c r="AM25" s="37">
        <f t="shared" si="3"/>
        <v>1</v>
      </c>
    </row>
    <row r="26" spans="1:41" ht="21.9" customHeight="1" x14ac:dyDescent="0.3">
      <c r="A26" s="14">
        <v>16</v>
      </c>
      <c r="B26" s="44" t="s">
        <v>257</v>
      </c>
      <c r="C26" s="14">
        <v>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>
        <f t="shared" si="0"/>
        <v>1</v>
      </c>
      <c r="X26" s="14"/>
      <c r="Y26" s="14"/>
      <c r="Z26" s="14"/>
      <c r="AA26" s="14"/>
      <c r="AB26" s="14"/>
      <c r="AC26" s="14">
        <f t="shared" si="1"/>
        <v>0</v>
      </c>
      <c r="AD26" s="14"/>
      <c r="AE26" s="14"/>
      <c r="AF26" s="14"/>
      <c r="AG26" s="14"/>
      <c r="AH26" s="14"/>
      <c r="AI26" s="14">
        <f t="shared" si="4"/>
        <v>0</v>
      </c>
      <c r="AJ26" s="14">
        <f t="shared" si="5"/>
        <v>1</v>
      </c>
      <c r="AK26" s="46">
        <f t="shared" si="6"/>
        <v>2.8571428571428572</v>
      </c>
      <c r="AL26" s="37" t="str">
        <f t="shared" si="2"/>
        <v xml:space="preserve"> </v>
      </c>
      <c r="AM26" s="37">
        <f t="shared" si="3"/>
        <v>1</v>
      </c>
    </row>
    <row r="27" spans="1:41" ht="21.9" customHeight="1" x14ac:dyDescent="0.3">
      <c r="A27" s="14">
        <v>17</v>
      </c>
      <c r="B27" s="34" t="s">
        <v>258</v>
      </c>
      <c r="C27" s="14">
        <v>1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>
        <f t="shared" si="0"/>
        <v>1</v>
      </c>
      <c r="X27" s="14"/>
      <c r="Y27" s="14"/>
      <c r="Z27" s="14"/>
      <c r="AA27" s="14"/>
      <c r="AB27" s="14"/>
      <c r="AC27" s="14">
        <f t="shared" si="1"/>
        <v>0</v>
      </c>
      <c r="AD27" s="14"/>
      <c r="AE27" s="14"/>
      <c r="AF27" s="14"/>
      <c r="AG27" s="14"/>
      <c r="AH27" s="14"/>
      <c r="AI27" s="14">
        <f t="shared" si="4"/>
        <v>0</v>
      </c>
      <c r="AJ27" s="14">
        <f t="shared" si="5"/>
        <v>1</v>
      </c>
      <c r="AK27" s="46">
        <f t="shared" si="6"/>
        <v>2.8571428571428572</v>
      </c>
      <c r="AL27" s="37" t="str">
        <f t="shared" si="2"/>
        <v xml:space="preserve"> </v>
      </c>
      <c r="AM27" s="37">
        <f t="shared" si="3"/>
        <v>1</v>
      </c>
    </row>
    <row r="28" spans="1:41" ht="21.9" customHeight="1" x14ac:dyDescent="0.3">
      <c r="A28" s="14">
        <v>18</v>
      </c>
      <c r="B28" s="34" t="s">
        <v>259</v>
      </c>
      <c r="C28" s="14">
        <v>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>
        <f t="shared" si="0"/>
        <v>1</v>
      </c>
      <c r="X28" s="14"/>
      <c r="Y28" s="14"/>
      <c r="Z28" s="14"/>
      <c r="AA28" s="14"/>
      <c r="AB28" s="14"/>
      <c r="AC28" s="14">
        <f t="shared" si="1"/>
        <v>0</v>
      </c>
      <c r="AD28" s="14"/>
      <c r="AE28" s="14"/>
      <c r="AF28" s="14"/>
      <c r="AG28" s="14"/>
      <c r="AH28" s="14"/>
      <c r="AI28" s="14">
        <f t="shared" si="4"/>
        <v>0</v>
      </c>
      <c r="AJ28" s="14">
        <f t="shared" si="5"/>
        <v>1</v>
      </c>
      <c r="AK28" s="46">
        <f t="shared" si="6"/>
        <v>2.8571428571428572</v>
      </c>
      <c r="AL28" s="37" t="str">
        <f t="shared" si="2"/>
        <v xml:space="preserve"> </v>
      </c>
      <c r="AM28" s="37">
        <f t="shared" si="3"/>
        <v>1</v>
      </c>
    </row>
    <row r="29" spans="1:41" ht="21.9" customHeight="1" x14ac:dyDescent="0.3">
      <c r="A29" s="14">
        <v>19</v>
      </c>
      <c r="B29" s="34" t="s">
        <v>260</v>
      </c>
      <c r="C29" s="14">
        <v>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>
        <f t="shared" si="0"/>
        <v>1</v>
      </c>
      <c r="X29" s="14"/>
      <c r="Y29" s="14"/>
      <c r="Z29" s="14"/>
      <c r="AA29" s="14"/>
      <c r="AB29" s="14"/>
      <c r="AC29" s="14">
        <f t="shared" si="1"/>
        <v>0</v>
      </c>
      <c r="AD29" s="14"/>
      <c r="AE29" s="14"/>
      <c r="AF29" s="14"/>
      <c r="AG29" s="14"/>
      <c r="AH29" s="14"/>
      <c r="AI29" s="14">
        <f t="shared" si="4"/>
        <v>0</v>
      </c>
      <c r="AJ29" s="14">
        <f t="shared" si="5"/>
        <v>1</v>
      </c>
      <c r="AK29" s="46">
        <f t="shared" si="6"/>
        <v>2.8571428571428572</v>
      </c>
      <c r="AL29" s="37" t="str">
        <f t="shared" si="2"/>
        <v xml:space="preserve"> </v>
      </c>
      <c r="AM29" s="37">
        <f t="shared" si="3"/>
        <v>1</v>
      </c>
    </row>
    <row r="30" spans="1:41" ht="21.9" customHeight="1" x14ac:dyDescent="0.3">
      <c r="A30" s="14">
        <v>20</v>
      </c>
      <c r="B30" s="34" t="s">
        <v>261</v>
      </c>
      <c r="C30" s="14">
        <v>1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>
        <f t="shared" si="0"/>
        <v>1</v>
      </c>
      <c r="X30" s="14"/>
      <c r="Y30" s="14"/>
      <c r="Z30" s="14"/>
      <c r="AA30" s="14"/>
      <c r="AB30" s="14"/>
      <c r="AC30" s="14">
        <f t="shared" si="1"/>
        <v>0</v>
      </c>
      <c r="AD30" s="14"/>
      <c r="AE30" s="14"/>
      <c r="AF30" s="14"/>
      <c r="AG30" s="14"/>
      <c r="AH30" s="14"/>
      <c r="AI30" s="14">
        <f t="shared" si="4"/>
        <v>0</v>
      </c>
      <c r="AJ30" s="14">
        <f t="shared" si="5"/>
        <v>1</v>
      </c>
      <c r="AK30" s="46">
        <f t="shared" si="6"/>
        <v>2.8571428571428572</v>
      </c>
      <c r="AL30" s="37" t="str">
        <f t="shared" si="2"/>
        <v xml:space="preserve"> </v>
      </c>
      <c r="AM30" s="37">
        <f t="shared" si="3"/>
        <v>1</v>
      </c>
    </row>
    <row r="31" spans="1:41" ht="21.9" customHeight="1" x14ac:dyDescent="0.3">
      <c r="A31" s="14">
        <v>21</v>
      </c>
      <c r="B31" s="44" t="s">
        <v>262</v>
      </c>
      <c r="C31" s="14">
        <v>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>
        <f t="shared" si="0"/>
        <v>1</v>
      </c>
      <c r="X31" s="14"/>
      <c r="Y31" s="14"/>
      <c r="Z31" s="14"/>
      <c r="AA31" s="14"/>
      <c r="AB31" s="14"/>
      <c r="AC31" s="14">
        <f t="shared" si="1"/>
        <v>0</v>
      </c>
      <c r="AD31" s="14"/>
      <c r="AE31" s="14"/>
      <c r="AF31" s="14"/>
      <c r="AG31" s="14"/>
      <c r="AH31" s="14"/>
      <c r="AI31" s="14">
        <f t="shared" si="4"/>
        <v>0</v>
      </c>
      <c r="AJ31" s="14">
        <f t="shared" si="5"/>
        <v>1</v>
      </c>
      <c r="AK31" s="46">
        <f t="shared" si="6"/>
        <v>2.8571428571428572</v>
      </c>
      <c r="AL31" s="37" t="str">
        <f t="shared" si="2"/>
        <v xml:space="preserve"> </v>
      </c>
      <c r="AM31" s="37">
        <f t="shared" si="3"/>
        <v>1</v>
      </c>
    </row>
    <row r="32" spans="1:41" ht="21.9" customHeight="1" x14ac:dyDescent="0.3">
      <c r="A32" s="14">
        <v>22</v>
      </c>
      <c r="B32" s="44" t="s">
        <v>263</v>
      </c>
      <c r="C32" s="14">
        <v>1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>
        <f t="shared" si="0"/>
        <v>1</v>
      </c>
      <c r="X32" s="14"/>
      <c r="Y32" s="14"/>
      <c r="Z32" s="14"/>
      <c r="AA32" s="14"/>
      <c r="AB32" s="14"/>
      <c r="AC32" s="14">
        <f t="shared" si="1"/>
        <v>0</v>
      </c>
      <c r="AD32" s="14"/>
      <c r="AE32" s="14"/>
      <c r="AF32" s="14"/>
      <c r="AG32" s="14"/>
      <c r="AH32" s="14"/>
      <c r="AI32" s="14">
        <f t="shared" si="4"/>
        <v>0</v>
      </c>
      <c r="AJ32" s="14">
        <f t="shared" si="5"/>
        <v>1</v>
      </c>
      <c r="AK32" s="46">
        <f t="shared" si="6"/>
        <v>2.8571428571428572</v>
      </c>
      <c r="AL32" s="37" t="str">
        <f t="shared" si="2"/>
        <v xml:space="preserve"> </v>
      </c>
      <c r="AM32" s="37">
        <f t="shared" si="3"/>
        <v>1</v>
      </c>
    </row>
    <row r="33" spans="1:39" ht="21.9" customHeight="1" x14ac:dyDescent="0.3">
      <c r="A33" s="14">
        <v>23</v>
      </c>
      <c r="B33" s="44" t="s">
        <v>264</v>
      </c>
      <c r="C33" s="14">
        <v>1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>
        <f t="shared" si="0"/>
        <v>1</v>
      </c>
      <c r="X33" s="14"/>
      <c r="Y33" s="14"/>
      <c r="Z33" s="14"/>
      <c r="AA33" s="14"/>
      <c r="AB33" s="14"/>
      <c r="AC33" s="14">
        <f t="shared" si="1"/>
        <v>0</v>
      </c>
      <c r="AD33" s="14"/>
      <c r="AE33" s="14"/>
      <c r="AF33" s="14"/>
      <c r="AG33" s="14"/>
      <c r="AH33" s="14"/>
      <c r="AI33" s="14">
        <f t="shared" si="4"/>
        <v>0</v>
      </c>
      <c r="AJ33" s="14">
        <f t="shared" si="5"/>
        <v>1</v>
      </c>
      <c r="AK33" s="46">
        <f t="shared" si="6"/>
        <v>2.8571428571428572</v>
      </c>
      <c r="AL33" s="37" t="str">
        <f t="shared" si="2"/>
        <v xml:space="preserve"> </v>
      </c>
      <c r="AM33" s="37">
        <f t="shared" si="3"/>
        <v>1</v>
      </c>
    </row>
    <row r="34" spans="1:39" ht="21.9" customHeight="1" x14ac:dyDescent="0.3">
      <c r="A34" s="14">
        <v>24</v>
      </c>
      <c r="B34" s="44" t="s">
        <v>265</v>
      </c>
      <c r="C34" s="14">
        <v>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>
        <f t="shared" si="0"/>
        <v>1</v>
      </c>
      <c r="X34" s="14"/>
      <c r="Y34" s="14"/>
      <c r="Z34" s="14"/>
      <c r="AA34" s="14"/>
      <c r="AB34" s="14"/>
      <c r="AC34" s="14">
        <f t="shared" si="1"/>
        <v>0</v>
      </c>
      <c r="AD34" s="14"/>
      <c r="AE34" s="14"/>
      <c r="AF34" s="14"/>
      <c r="AG34" s="14"/>
      <c r="AH34" s="14"/>
      <c r="AI34" s="14">
        <f t="shared" si="4"/>
        <v>0</v>
      </c>
      <c r="AJ34" s="14">
        <f t="shared" si="5"/>
        <v>1</v>
      </c>
      <c r="AK34" s="46">
        <f t="shared" si="6"/>
        <v>2.8571428571428572</v>
      </c>
      <c r="AL34" s="37" t="str">
        <f t="shared" si="2"/>
        <v xml:space="preserve"> </v>
      </c>
      <c r="AM34" s="37">
        <f t="shared" si="3"/>
        <v>1</v>
      </c>
    </row>
    <row r="35" spans="1:39" ht="21.9" customHeight="1" x14ac:dyDescent="0.3">
      <c r="A35" s="14">
        <v>25</v>
      </c>
      <c r="B35" s="34" t="s">
        <v>266</v>
      </c>
      <c r="C35" s="14">
        <v>1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>
        <f t="shared" si="0"/>
        <v>1</v>
      </c>
      <c r="X35" s="14"/>
      <c r="Y35" s="14"/>
      <c r="Z35" s="14"/>
      <c r="AA35" s="14"/>
      <c r="AB35" s="14"/>
      <c r="AC35" s="14">
        <f t="shared" si="1"/>
        <v>0</v>
      </c>
      <c r="AD35" s="14"/>
      <c r="AE35" s="14"/>
      <c r="AF35" s="14"/>
      <c r="AG35" s="14"/>
      <c r="AH35" s="14"/>
      <c r="AI35" s="14">
        <f t="shared" si="4"/>
        <v>0</v>
      </c>
      <c r="AJ35" s="14">
        <f t="shared" si="5"/>
        <v>1</v>
      </c>
      <c r="AK35" s="46">
        <f t="shared" si="6"/>
        <v>2.8571428571428572</v>
      </c>
      <c r="AL35" s="37"/>
      <c r="AM35" s="37">
        <f t="shared" si="3"/>
        <v>1</v>
      </c>
    </row>
    <row r="36" spans="1:39" ht="21.9" customHeight="1" x14ac:dyDescent="0.3">
      <c r="A36" s="14">
        <v>26</v>
      </c>
      <c r="B36" s="44" t="s">
        <v>267</v>
      </c>
      <c r="C36" s="14">
        <v>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>
        <f t="shared" si="0"/>
        <v>1</v>
      </c>
      <c r="X36" s="14"/>
      <c r="Y36" s="14"/>
      <c r="Z36" s="14"/>
      <c r="AA36" s="14"/>
      <c r="AB36" s="14"/>
      <c r="AC36" s="14">
        <f t="shared" si="1"/>
        <v>0</v>
      </c>
      <c r="AD36" s="14"/>
      <c r="AE36" s="14"/>
      <c r="AF36" s="14"/>
      <c r="AG36" s="14"/>
      <c r="AH36" s="14"/>
      <c r="AI36" s="14">
        <f t="shared" si="4"/>
        <v>0</v>
      </c>
      <c r="AJ36" s="14">
        <f t="shared" si="5"/>
        <v>1</v>
      </c>
      <c r="AK36" s="46">
        <f t="shared" si="6"/>
        <v>2.8571428571428572</v>
      </c>
      <c r="AL36" s="37" t="str">
        <f t="shared" si="2"/>
        <v xml:space="preserve"> </v>
      </c>
      <c r="AM36" s="37">
        <f t="shared" si="3"/>
        <v>1</v>
      </c>
    </row>
    <row r="37" spans="1:39" ht="20.100000000000001" customHeight="1" x14ac:dyDescent="0.3">
      <c r="A37" s="16" t="s">
        <v>36</v>
      </c>
      <c r="B37" s="17"/>
      <c r="C37" s="31">
        <f t="shared" ref="C37:V37" si="7">SUM(C11:C36)</f>
        <v>26</v>
      </c>
      <c r="D37" s="31">
        <f t="shared" si="7"/>
        <v>1</v>
      </c>
      <c r="E37" s="31">
        <f t="shared" si="7"/>
        <v>2</v>
      </c>
      <c r="F37" s="31">
        <f t="shared" si="7"/>
        <v>1</v>
      </c>
      <c r="G37" s="31">
        <f t="shared" si="7"/>
        <v>2</v>
      </c>
      <c r="H37" s="31">
        <f t="shared" si="7"/>
        <v>2</v>
      </c>
      <c r="I37" s="31">
        <f t="shared" si="7"/>
        <v>2</v>
      </c>
      <c r="J37" s="31">
        <f t="shared" si="7"/>
        <v>2</v>
      </c>
      <c r="K37" s="31">
        <f t="shared" si="7"/>
        <v>2</v>
      </c>
      <c r="L37" s="31">
        <f t="shared" si="7"/>
        <v>2</v>
      </c>
      <c r="M37" s="31">
        <f t="shared" si="7"/>
        <v>2</v>
      </c>
      <c r="N37" s="31">
        <f t="shared" si="7"/>
        <v>2</v>
      </c>
      <c r="O37" s="31">
        <f t="shared" si="7"/>
        <v>2</v>
      </c>
      <c r="P37" s="31">
        <f t="shared" si="7"/>
        <v>2</v>
      </c>
      <c r="Q37" s="31">
        <f t="shared" si="7"/>
        <v>2</v>
      </c>
      <c r="R37" s="31">
        <f t="shared" si="7"/>
        <v>2</v>
      </c>
      <c r="S37" s="31">
        <f t="shared" si="7"/>
        <v>2</v>
      </c>
      <c r="T37" s="31">
        <f t="shared" si="7"/>
        <v>2</v>
      </c>
      <c r="U37" s="31">
        <f t="shared" si="7"/>
        <v>2</v>
      </c>
      <c r="V37" s="31">
        <f t="shared" si="7"/>
        <v>2</v>
      </c>
      <c r="W37" s="65"/>
      <c r="X37" s="31">
        <f>SUM(X11:X36)</f>
        <v>1</v>
      </c>
      <c r="Y37" s="31">
        <f>SUM(Y11:Y36)</f>
        <v>1</v>
      </c>
      <c r="Z37" s="31">
        <f>SUM(Z11:Z36)</f>
        <v>1</v>
      </c>
      <c r="AA37" s="31">
        <f>SUM(AA11:AA36)</f>
        <v>1</v>
      </c>
      <c r="AB37" s="31">
        <f>SUM(AB11:AB36)</f>
        <v>2</v>
      </c>
      <c r="AC37" s="67"/>
      <c r="AD37" s="31">
        <f>SUM(AD11:AD36)</f>
        <v>3</v>
      </c>
      <c r="AE37" s="31">
        <f>SUM(AE11:AE36)</f>
        <v>3</v>
      </c>
      <c r="AF37" s="31">
        <f>SUM(AF11:AF36)</f>
        <v>3</v>
      </c>
      <c r="AG37" s="31">
        <f>SUM(AG11:AG36)</f>
        <v>3</v>
      </c>
      <c r="AH37" s="31">
        <f>SUM(AH11:AH36)</f>
        <v>4</v>
      </c>
      <c r="AI37" s="65"/>
      <c r="AJ37" s="69">
        <f>SUM(AJ11:AJ36)</f>
        <v>84</v>
      </c>
      <c r="AK37" s="69">
        <f>SUM(AK11:AK36)</f>
        <v>240.00000000000011</v>
      </c>
      <c r="AL37" s="60">
        <f>SUM(AL11:AL36)</f>
        <v>2</v>
      </c>
      <c r="AM37" s="60">
        <f>SUM(AM11:AM36)</f>
        <v>24</v>
      </c>
    </row>
    <row r="38" spans="1:39" ht="20.100000000000001" customHeight="1" x14ac:dyDescent="0.3">
      <c r="A38" s="18" t="s">
        <v>37</v>
      </c>
      <c r="B38" s="17"/>
      <c r="C38" s="33">
        <f>C37*100/26</f>
        <v>100</v>
      </c>
      <c r="D38" s="33">
        <f t="shared" ref="D38:V38" si="8">D37*100/26</f>
        <v>3.8461538461538463</v>
      </c>
      <c r="E38" s="33">
        <f t="shared" si="8"/>
        <v>7.6923076923076925</v>
      </c>
      <c r="F38" s="33">
        <f t="shared" si="8"/>
        <v>3.8461538461538463</v>
      </c>
      <c r="G38" s="33">
        <f t="shared" si="8"/>
        <v>7.6923076923076925</v>
      </c>
      <c r="H38" s="33">
        <f t="shared" si="8"/>
        <v>7.6923076923076925</v>
      </c>
      <c r="I38" s="33">
        <f t="shared" si="8"/>
        <v>7.6923076923076925</v>
      </c>
      <c r="J38" s="33">
        <f t="shared" si="8"/>
        <v>7.6923076923076925</v>
      </c>
      <c r="K38" s="33">
        <f t="shared" si="8"/>
        <v>7.6923076923076925</v>
      </c>
      <c r="L38" s="33">
        <f t="shared" si="8"/>
        <v>7.6923076923076925</v>
      </c>
      <c r="M38" s="33">
        <f t="shared" si="8"/>
        <v>7.6923076923076925</v>
      </c>
      <c r="N38" s="33">
        <f t="shared" si="8"/>
        <v>7.6923076923076925</v>
      </c>
      <c r="O38" s="33">
        <f t="shared" si="8"/>
        <v>7.6923076923076925</v>
      </c>
      <c r="P38" s="33">
        <f t="shared" si="8"/>
        <v>7.6923076923076925</v>
      </c>
      <c r="Q38" s="33">
        <f t="shared" si="8"/>
        <v>7.6923076923076925</v>
      </c>
      <c r="R38" s="33">
        <f t="shared" si="8"/>
        <v>7.6923076923076925</v>
      </c>
      <c r="S38" s="33">
        <f t="shared" si="8"/>
        <v>7.6923076923076925</v>
      </c>
      <c r="T38" s="33">
        <f t="shared" si="8"/>
        <v>7.6923076923076925</v>
      </c>
      <c r="U38" s="33">
        <f t="shared" si="8"/>
        <v>7.6923076923076925</v>
      </c>
      <c r="V38" s="33">
        <f t="shared" si="8"/>
        <v>7.6923076923076925</v>
      </c>
      <c r="W38" s="66"/>
      <c r="X38" s="33">
        <f>X37*100/26</f>
        <v>3.8461538461538463</v>
      </c>
      <c r="Y38" s="33">
        <f t="shared" ref="Y38:AB38" si="9">Y37*100/26</f>
        <v>3.8461538461538463</v>
      </c>
      <c r="Z38" s="33">
        <f t="shared" si="9"/>
        <v>3.8461538461538463</v>
      </c>
      <c r="AA38" s="33">
        <f t="shared" si="9"/>
        <v>3.8461538461538463</v>
      </c>
      <c r="AB38" s="33">
        <f t="shared" si="9"/>
        <v>7.6923076923076925</v>
      </c>
      <c r="AC38" s="68"/>
      <c r="AD38" s="33">
        <f>AD37*100/26</f>
        <v>11.538461538461538</v>
      </c>
      <c r="AE38" s="33">
        <f t="shared" ref="AE38:AH38" si="10">AE37*100/26</f>
        <v>11.538461538461538</v>
      </c>
      <c r="AF38" s="33">
        <f t="shared" si="10"/>
        <v>11.538461538461538</v>
      </c>
      <c r="AG38" s="33">
        <f t="shared" si="10"/>
        <v>11.538461538461538</v>
      </c>
      <c r="AH38" s="33">
        <f t="shared" si="10"/>
        <v>15.384615384615385</v>
      </c>
      <c r="AI38" s="66"/>
      <c r="AJ38" s="70"/>
      <c r="AK38" s="70"/>
      <c r="AL38" s="61"/>
      <c r="AM38" s="61"/>
    </row>
    <row r="40" spans="1:39" ht="20.100000000000001" customHeight="1" x14ac:dyDescent="0.3">
      <c r="A40" s="20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3"/>
      <c r="AK40" s="23"/>
      <c r="AL40" s="24"/>
    </row>
    <row r="41" spans="1:39" ht="20.100000000000001" customHeight="1" x14ac:dyDescent="0.3">
      <c r="A41" s="25"/>
      <c r="B41" s="26"/>
      <c r="C41" s="39" t="s">
        <v>38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 t="s">
        <v>215</v>
      </c>
      <c r="AF41" s="26"/>
      <c r="AG41" s="26"/>
      <c r="AH41" s="26"/>
      <c r="AI41" s="26"/>
      <c r="AJ41" s="26"/>
      <c r="AK41" s="26"/>
      <c r="AL41" s="25"/>
    </row>
    <row r="42" spans="1:39" ht="20.100000000000001" customHeight="1" x14ac:dyDescent="0.3">
      <c r="A42" s="25"/>
      <c r="B42" s="26"/>
      <c r="C42" s="26" t="s">
        <v>39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45"/>
      <c r="X42" s="45"/>
      <c r="Y42" s="45"/>
      <c r="Z42" s="45"/>
      <c r="AA42" s="45"/>
      <c r="AB42" s="45"/>
      <c r="AC42" s="45"/>
      <c r="AD42" s="26"/>
      <c r="AE42" s="26" t="s">
        <v>214</v>
      </c>
      <c r="AF42" s="26"/>
      <c r="AG42" s="26"/>
      <c r="AH42" s="26"/>
      <c r="AI42" s="26"/>
      <c r="AJ42" s="26"/>
      <c r="AK42" s="26"/>
      <c r="AL42" s="25"/>
    </row>
    <row r="43" spans="1:39" ht="20.100000000000001" customHeight="1" x14ac:dyDescent="0.3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45"/>
      <c r="AD43" s="45"/>
      <c r="AE43" s="45"/>
      <c r="AF43" s="26"/>
      <c r="AG43" s="26"/>
      <c r="AH43" s="26"/>
      <c r="AI43" s="26"/>
      <c r="AJ43" s="26"/>
      <c r="AK43" s="26"/>
      <c r="AL43" s="25"/>
    </row>
    <row r="44" spans="1:39" ht="20.100000000000001" customHeight="1" x14ac:dyDescent="0.3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5"/>
    </row>
    <row r="45" spans="1:39" ht="20.100000000000001" customHeight="1" x14ac:dyDescent="0.3">
      <c r="A45" s="25"/>
      <c r="B45" s="26"/>
      <c r="C45" s="28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5"/>
    </row>
    <row r="46" spans="1:39" ht="20.100000000000001" customHeight="1" x14ac:dyDescent="0.3">
      <c r="A46" s="25"/>
      <c r="B46" s="26"/>
      <c r="C46" s="28" t="s">
        <v>40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9"/>
      <c r="X46" s="29"/>
      <c r="Y46" s="29"/>
      <c r="Z46" s="29"/>
      <c r="AA46" s="29"/>
      <c r="AB46" s="29"/>
      <c r="AC46" s="26"/>
      <c r="AD46" s="39"/>
      <c r="AE46" s="29" t="s">
        <v>68</v>
      </c>
      <c r="AF46" s="26"/>
      <c r="AG46" s="26"/>
      <c r="AH46" s="26"/>
      <c r="AI46" s="26"/>
      <c r="AJ46" s="26"/>
      <c r="AK46" s="26"/>
      <c r="AL46" s="25"/>
    </row>
  </sheetData>
  <mergeCells count="17">
    <mergeCell ref="AM37:AM38"/>
    <mergeCell ref="W37:W38"/>
    <mergeCell ref="AC37:AC38"/>
    <mergeCell ref="AI37:AI38"/>
    <mergeCell ref="AJ37:AJ38"/>
    <mergeCell ref="AK37:AK38"/>
    <mergeCell ref="AL37:AL38"/>
    <mergeCell ref="AO13:AO14"/>
    <mergeCell ref="A1:AM1"/>
    <mergeCell ref="A2:AM2"/>
    <mergeCell ref="A8:A9"/>
    <mergeCell ref="B8:B9"/>
    <mergeCell ref="C8:V8"/>
    <mergeCell ref="X8:AB8"/>
    <mergeCell ref="AD8:AH8"/>
    <mergeCell ref="AK8:AK9"/>
    <mergeCell ref="AL8:AM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A677-C1C2-4E4A-82F4-7DBF73B94519}">
  <dimension ref="A1:AO45"/>
  <sheetViews>
    <sheetView topLeftCell="A9" zoomScale="55" zoomScaleNormal="55" workbookViewId="0">
      <selection activeCell="AD11" sqref="AD11:AH35"/>
    </sheetView>
  </sheetViews>
  <sheetFormatPr defaultColWidth="9.109375" defaultRowHeight="13.8" x14ac:dyDescent="0.3"/>
  <cols>
    <col min="1" max="1" width="4.44140625" style="1" customWidth="1"/>
    <col min="2" max="2" width="38.5546875" style="1" customWidth="1"/>
    <col min="3" max="3" width="4.6640625" style="1" customWidth="1"/>
    <col min="4" max="22" width="3.6640625" style="1" customWidth="1"/>
    <col min="23" max="23" width="9.109375" style="13"/>
    <col min="24" max="28" width="4.6640625" style="1" customWidth="1"/>
    <col min="29" max="29" width="9.109375" style="13"/>
    <col min="30" max="34" width="4.6640625" style="1" customWidth="1"/>
    <col min="35" max="36" width="9.109375" style="1"/>
    <col min="37" max="37" width="11.21875" style="1" customWidth="1"/>
    <col min="38" max="40" width="9.109375" style="1"/>
    <col min="41" max="41" width="87.5546875" style="1" bestFit="1" customWidth="1"/>
    <col min="42" max="16384" width="9.109375" style="1"/>
  </cols>
  <sheetData>
    <row r="1" spans="1:41" ht="20.100000000000001" customHeight="1" x14ac:dyDescent="0.3">
      <c r="A1" s="54" t="s">
        <v>212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41" ht="20.100000000000001" customHeight="1" x14ac:dyDescent="0.3">
      <c r="A2" s="55" t="s">
        <v>213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1" ht="20.100000000000001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  <c r="X3" s="10"/>
      <c r="Y3" s="10"/>
      <c r="Z3" s="10"/>
      <c r="AA3" s="10"/>
      <c r="AB3" s="10"/>
      <c r="AC3" s="19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ht="20.100000000000001" customHeight="1" x14ac:dyDescent="0.3">
      <c r="A4" s="2"/>
      <c r="B4" s="9" t="s">
        <v>0</v>
      </c>
      <c r="C4" s="2"/>
      <c r="D4" s="9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  <c r="X4" s="10"/>
      <c r="Y4" s="10"/>
      <c r="Z4" s="10"/>
      <c r="AA4" s="10"/>
      <c r="AB4" s="10"/>
      <c r="AC4" s="19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20.100000000000001" customHeight="1" x14ac:dyDescent="0.3">
      <c r="A5" s="2"/>
      <c r="B5" s="9" t="s">
        <v>2</v>
      </c>
      <c r="C5" s="2"/>
      <c r="D5" s="11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  <c r="X5" s="10"/>
      <c r="Y5" s="10"/>
      <c r="Z5" s="10"/>
      <c r="AA5" s="10"/>
      <c r="AB5" s="10"/>
      <c r="AC5" s="19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1" ht="20.100000000000001" customHeight="1" x14ac:dyDescent="0.3">
      <c r="A6" s="2"/>
      <c r="B6" s="9" t="s">
        <v>3</v>
      </c>
      <c r="C6" s="2"/>
      <c r="D6" s="11" t="s">
        <v>118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  <c r="X6" s="10"/>
      <c r="Y6" s="10"/>
      <c r="Z6" s="10"/>
      <c r="AA6" s="10"/>
      <c r="AB6" s="10"/>
      <c r="AC6" s="19"/>
      <c r="AD6" s="2"/>
      <c r="AE6" s="2"/>
      <c r="AF6" s="2"/>
      <c r="AG6" s="2"/>
      <c r="AH6" s="2"/>
      <c r="AI6" s="2"/>
      <c r="AJ6" s="2"/>
      <c r="AK6" s="2"/>
      <c r="AL6" s="2"/>
      <c r="AM6" s="2"/>
    </row>
    <row r="8" spans="1:41" ht="30" customHeight="1" x14ac:dyDescent="0.3">
      <c r="A8" s="60" t="s">
        <v>4</v>
      </c>
      <c r="B8" s="60" t="s">
        <v>5</v>
      </c>
      <c r="C8" s="62" t="s">
        <v>6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40" t="s">
        <v>7</v>
      </c>
      <c r="X8" s="62" t="s">
        <v>8</v>
      </c>
      <c r="Y8" s="63"/>
      <c r="Z8" s="63"/>
      <c r="AA8" s="63"/>
      <c r="AB8" s="63"/>
      <c r="AC8" s="40" t="s">
        <v>7</v>
      </c>
      <c r="AD8" s="62" t="s">
        <v>42</v>
      </c>
      <c r="AE8" s="63"/>
      <c r="AF8" s="63"/>
      <c r="AG8" s="63"/>
      <c r="AH8" s="64"/>
      <c r="AI8" s="40" t="s">
        <v>7</v>
      </c>
      <c r="AJ8" s="40" t="s">
        <v>9</v>
      </c>
      <c r="AK8" s="56" t="s">
        <v>10</v>
      </c>
      <c r="AL8" s="58" t="s">
        <v>280</v>
      </c>
      <c r="AM8" s="59"/>
    </row>
    <row r="9" spans="1:41" ht="20.100000000000001" customHeight="1" x14ac:dyDescent="0.3">
      <c r="A9" s="61"/>
      <c r="B9" s="61"/>
      <c r="C9" s="30" t="s">
        <v>11</v>
      </c>
      <c r="D9" s="30" t="s">
        <v>12</v>
      </c>
      <c r="E9" s="30" t="s">
        <v>13</v>
      </c>
      <c r="F9" s="30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30" t="s">
        <v>21</v>
      </c>
      <c r="N9" s="30" t="s">
        <v>22</v>
      </c>
      <c r="O9" s="30" t="s">
        <v>23</v>
      </c>
      <c r="P9" s="30" t="s">
        <v>24</v>
      </c>
      <c r="Q9" s="30" t="s">
        <v>25</v>
      </c>
      <c r="R9" s="30" t="s">
        <v>26</v>
      </c>
      <c r="S9" s="30" t="s">
        <v>27</v>
      </c>
      <c r="T9" s="30" t="s">
        <v>28</v>
      </c>
      <c r="U9" s="30" t="s">
        <v>29</v>
      </c>
      <c r="V9" s="30" t="s">
        <v>30</v>
      </c>
      <c r="W9" s="5" t="s">
        <v>31</v>
      </c>
      <c r="X9" s="6">
        <v>1</v>
      </c>
      <c r="Y9" s="6">
        <v>2</v>
      </c>
      <c r="Z9" s="6">
        <v>3</v>
      </c>
      <c r="AA9" s="6">
        <v>4</v>
      </c>
      <c r="AB9" s="6">
        <v>5</v>
      </c>
      <c r="AC9" s="5" t="s">
        <v>31</v>
      </c>
      <c r="AD9" s="6">
        <v>1</v>
      </c>
      <c r="AE9" s="6">
        <v>2</v>
      </c>
      <c r="AF9" s="6">
        <v>3</v>
      </c>
      <c r="AG9" s="6">
        <v>4</v>
      </c>
      <c r="AH9" s="6">
        <v>5</v>
      </c>
      <c r="AI9" s="5" t="s">
        <v>32</v>
      </c>
      <c r="AJ9" s="38"/>
      <c r="AK9" s="57"/>
      <c r="AL9" s="7" t="s">
        <v>33</v>
      </c>
      <c r="AM9" s="7" t="s">
        <v>34</v>
      </c>
    </row>
    <row r="10" spans="1:41" ht="6.9" customHeight="1" thickBot="1" x14ac:dyDescent="0.35">
      <c r="A10" s="8"/>
      <c r="B10" s="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15"/>
      <c r="X10" s="8"/>
      <c r="Y10" s="8"/>
      <c r="Z10" s="8"/>
      <c r="AA10" s="8"/>
      <c r="AB10" s="8"/>
      <c r="AC10" s="15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41" ht="21.9" customHeight="1" thickTop="1" x14ac:dyDescent="0.3">
      <c r="A11" s="14">
        <v>1</v>
      </c>
      <c r="B11" s="34" t="s">
        <v>70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f t="shared" ref="W11:W35" si="0">SUM(C11:V11)</f>
        <v>20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f>SUM(X11:AB11)</f>
        <v>5</v>
      </c>
      <c r="AD11" s="14">
        <v>2</v>
      </c>
      <c r="AE11" s="14">
        <v>2</v>
      </c>
      <c r="AF11" s="14">
        <v>2</v>
      </c>
      <c r="AG11" s="14">
        <v>2</v>
      </c>
      <c r="AH11" s="14">
        <v>2</v>
      </c>
      <c r="AI11" s="14">
        <f>SUM(AD11:AH11)*1</f>
        <v>10</v>
      </c>
      <c r="AJ11" s="14">
        <f>SUM(W11,AC11,AI11)</f>
        <v>35</v>
      </c>
      <c r="AK11" s="46">
        <f>AJ11*100/35</f>
        <v>100</v>
      </c>
      <c r="AL11" s="37">
        <f>IF(AK11&gt;70,1," ")</f>
        <v>1</v>
      </c>
      <c r="AM11" s="37" t="str">
        <f>IF(AK11&lt;70,1," ")</f>
        <v xml:space="preserve"> </v>
      </c>
      <c r="AO11" s="41" t="s">
        <v>183</v>
      </c>
    </row>
    <row r="12" spans="1:41" ht="21.9" customHeight="1" x14ac:dyDescent="0.3">
      <c r="A12" s="14">
        <v>2</v>
      </c>
      <c r="B12" s="34" t="s">
        <v>71</v>
      </c>
      <c r="C12" s="14">
        <v>1</v>
      </c>
      <c r="D12" s="14">
        <v>1</v>
      </c>
      <c r="E12" s="14">
        <v>1</v>
      </c>
      <c r="F12" s="14">
        <v>1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f t="shared" si="0"/>
        <v>20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f t="shared" ref="AC12:AC34" si="1">SUM(X12:AB12)</f>
        <v>5</v>
      </c>
      <c r="AD12" s="14">
        <v>2</v>
      </c>
      <c r="AE12" s="14">
        <v>2</v>
      </c>
      <c r="AF12" s="14">
        <v>2</v>
      </c>
      <c r="AG12" s="14">
        <v>2</v>
      </c>
      <c r="AH12" s="14">
        <v>2</v>
      </c>
      <c r="AI12" s="14">
        <f>SUM(AD12:AH12)*1</f>
        <v>10</v>
      </c>
      <c r="AJ12" s="14">
        <f>SUM(W12,AC12,AI12)</f>
        <v>35</v>
      </c>
      <c r="AK12" s="46">
        <f>AJ12*100/35</f>
        <v>100</v>
      </c>
      <c r="AL12" s="37">
        <f t="shared" ref="AL12:AL34" si="2">IF(AK12&gt;70,1," ")</f>
        <v>1</v>
      </c>
      <c r="AM12" s="37" t="str">
        <f t="shared" ref="AM12:AM35" si="3">IF(AK12&lt;70,1," ")</f>
        <v xml:space="preserve"> </v>
      </c>
      <c r="AO12" s="42" t="s">
        <v>268</v>
      </c>
    </row>
    <row r="13" spans="1:41" ht="21.9" customHeight="1" x14ac:dyDescent="0.3">
      <c r="A13" s="14">
        <v>3</v>
      </c>
      <c r="B13" s="34" t="s">
        <v>72</v>
      </c>
      <c r="C13" s="14">
        <v>1</v>
      </c>
      <c r="D13" s="1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f t="shared" si="0"/>
        <v>20</v>
      </c>
      <c r="X13" s="14">
        <v>1</v>
      </c>
      <c r="Y13" s="14">
        <v>1</v>
      </c>
      <c r="Z13" s="14">
        <v>1</v>
      </c>
      <c r="AA13" s="14">
        <v>1</v>
      </c>
      <c r="AB13" s="14">
        <v>1</v>
      </c>
      <c r="AC13" s="14">
        <f t="shared" si="1"/>
        <v>5</v>
      </c>
      <c r="AD13" s="14">
        <v>2</v>
      </c>
      <c r="AE13" s="14">
        <v>2</v>
      </c>
      <c r="AF13" s="14">
        <v>2</v>
      </c>
      <c r="AG13" s="14">
        <v>2</v>
      </c>
      <c r="AH13" s="14">
        <v>2</v>
      </c>
      <c r="AI13" s="14">
        <f t="shared" ref="AI13:AI35" si="4">SUM(AD13:AH13)*1</f>
        <v>10</v>
      </c>
      <c r="AJ13" s="14">
        <f t="shared" ref="AJ13:AJ35" si="5">SUM(W13,AC13,AI13)</f>
        <v>35</v>
      </c>
      <c r="AK13" s="46">
        <f t="shared" ref="AK13:AK35" si="6">AJ13*100/35</f>
        <v>100</v>
      </c>
      <c r="AL13" s="37">
        <f t="shared" si="2"/>
        <v>1</v>
      </c>
      <c r="AM13" s="37" t="str">
        <f t="shared" si="3"/>
        <v xml:space="preserve"> </v>
      </c>
      <c r="AO13" s="53" t="s">
        <v>275</v>
      </c>
    </row>
    <row r="14" spans="1:41" ht="21.9" customHeight="1" x14ac:dyDescent="0.3">
      <c r="A14" s="14">
        <v>4</v>
      </c>
      <c r="B14" s="34" t="s">
        <v>47</v>
      </c>
      <c r="C14" s="14">
        <v>1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f t="shared" si="0"/>
        <v>20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f t="shared" si="1"/>
        <v>5</v>
      </c>
      <c r="AD14" s="14">
        <v>2</v>
      </c>
      <c r="AE14" s="14">
        <v>2</v>
      </c>
      <c r="AF14" s="14">
        <v>2</v>
      </c>
      <c r="AG14" s="14">
        <v>2</v>
      </c>
      <c r="AH14" s="14">
        <v>2</v>
      </c>
      <c r="AI14" s="14">
        <f t="shared" si="4"/>
        <v>10</v>
      </c>
      <c r="AJ14" s="14">
        <f t="shared" si="5"/>
        <v>35</v>
      </c>
      <c r="AK14" s="46">
        <f t="shared" si="6"/>
        <v>100</v>
      </c>
      <c r="AL14" s="37">
        <f t="shared" si="2"/>
        <v>1</v>
      </c>
      <c r="AM14" s="37" t="str">
        <f t="shared" si="3"/>
        <v xml:space="preserve"> </v>
      </c>
      <c r="AO14" s="53"/>
    </row>
    <row r="15" spans="1:41" ht="21.9" customHeight="1" x14ac:dyDescent="0.3">
      <c r="A15" s="14">
        <v>5</v>
      </c>
      <c r="B15" s="44" t="s">
        <v>181</v>
      </c>
      <c r="C15" s="14">
        <v>1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f t="shared" si="0"/>
        <v>20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f t="shared" si="1"/>
        <v>5</v>
      </c>
      <c r="AD15" s="14">
        <v>2</v>
      </c>
      <c r="AE15" s="14">
        <v>2</v>
      </c>
      <c r="AF15" s="14">
        <v>2</v>
      </c>
      <c r="AG15" s="14">
        <v>2</v>
      </c>
      <c r="AH15" s="14">
        <v>2</v>
      </c>
      <c r="AI15" s="14">
        <f t="shared" si="4"/>
        <v>10</v>
      </c>
      <c r="AJ15" s="14">
        <f t="shared" si="5"/>
        <v>35</v>
      </c>
      <c r="AK15" s="46">
        <f t="shared" si="6"/>
        <v>100</v>
      </c>
      <c r="AL15" s="37">
        <f t="shared" si="2"/>
        <v>1</v>
      </c>
      <c r="AM15" s="37" t="str">
        <f t="shared" si="3"/>
        <v xml:space="preserve"> </v>
      </c>
      <c r="AO15" s="50" t="s">
        <v>276</v>
      </c>
    </row>
    <row r="16" spans="1:41" ht="21.9" customHeight="1" x14ac:dyDescent="0.3">
      <c r="A16" s="14">
        <v>6</v>
      </c>
      <c r="B16" s="34" t="s">
        <v>99</v>
      </c>
      <c r="C16" s="14">
        <v>1</v>
      </c>
      <c r="D16" s="14">
        <v>1</v>
      </c>
      <c r="E16" s="14">
        <v>1</v>
      </c>
      <c r="F16" s="14">
        <v>1</v>
      </c>
      <c r="G16" s="14">
        <v>1</v>
      </c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f t="shared" si="0"/>
        <v>20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f t="shared" si="1"/>
        <v>5</v>
      </c>
      <c r="AD16" s="14">
        <v>2</v>
      </c>
      <c r="AE16" s="14">
        <v>2</v>
      </c>
      <c r="AF16" s="14">
        <v>2</v>
      </c>
      <c r="AG16" s="14">
        <v>2</v>
      </c>
      <c r="AH16" s="14">
        <v>2</v>
      </c>
      <c r="AI16" s="14">
        <f t="shared" si="4"/>
        <v>10</v>
      </c>
      <c r="AJ16" s="14">
        <f t="shared" si="5"/>
        <v>35</v>
      </c>
      <c r="AK16" s="46">
        <f t="shared" si="6"/>
        <v>100</v>
      </c>
      <c r="AL16" s="37">
        <f t="shared" si="2"/>
        <v>1</v>
      </c>
      <c r="AM16" s="37" t="str">
        <f t="shared" si="3"/>
        <v xml:space="preserve"> </v>
      </c>
      <c r="AO16" s="51" t="s">
        <v>277</v>
      </c>
    </row>
    <row r="17" spans="1:41" ht="21.9" customHeight="1" x14ac:dyDescent="0.3">
      <c r="A17" s="14">
        <v>7</v>
      </c>
      <c r="B17" s="34" t="s">
        <v>54</v>
      </c>
      <c r="C17" s="14">
        <v>1</v>
      </c>
      <c r="D17" s="1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f t="shared" si="0"/>
        <v>20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f t="shared" si="1"/>
        <v>5</v>
      </c>
      <c r="AD17" s="14">
        <v>2</v>
      </c>
      <c r="AE17" s="14">
        <v>2</v>
      </c>
      <c r="AF17" s="14">
        <v>2</v>
      </c>
      <c r="AG17" s="14">
        <v>2</v>
      </c>
      <c r="AH17" s="14">
        <v>2</v>
      </c>
      <c r="AI17" s="14">
        <f t="shared" si="4"/>
        <v>10</v>
      </c>
      <c r="AJ17" s="14">
        <f t="shared" si="5"/>
        <v>35</v>
      </c>
      <c r="AK17" s="46">
        <f t="shared" si="6"/>
        <v>100</v>
      </c>
      <c r="AL17" s="37">
        <f t="shared" si="2"/>
        <v>1</v>
      </c>
      <c r="AM17" s="37" t="str">
        <f t="shared" si="3"/>
        <v xml:space="preserve"> </v>
      </c>
      <c r="AO17" s="51" t="s">
        <v>278</v>
      </c>
    </row>
    <row r="18" spans="1:41" ht="21.9" customHeight="1" thickBot="1" x14ac:dyDescent="0.35">
      <c r="A18" s="14">
        <v>8</v>
      </c>
      <c r="B18" s="34" t="s">
        <v>76</v>
      </c>
      <c r="C18" s="14">
        <v>1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f t="shared" si="0"/>
        <v>20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f t="shared" si="1"/>
        <v>5</v>
      </c>
      <c r="AD18" s="14">
        <v>2</v>
      </c>
      <c r="AE18" s="14">
        <v>2</v>
      </c>
      <c r="AF18" s="14">
        <v>2</v>
      </c>
      <c r="AG18" s="14">
        <v>2</v>
      </c>
      <c r="AH18" s="14">
        <v>2</v>
      </c>
      <c r="AI18" s="14">
        <f t="shared" si="4"/>
        <v>10</v>
      </c>
      <c r="AJ18" s="14">
        <f t="shared" si="5"/>
        <v>35</v>
      </c>
      <c r="AK18" s="46">
        <f t="shared" si="6"/>
        <v>100</v>
      </c>
      <c r="AL18" s="37">
        <f t="shared" si="2"/>
        <v>1</v>
      </c>
      <c r="AM18" s="37" t="str">
        <f t="shared" si="3"/>
        <v xml:space="preserve"> </v>
      </c>
      <c r="AO18" s="52" t="s">
        <v>279</v>
      </c>
    </row>
    <row r="19" spans="1:41" ht="21.9" customHeight="1" thickTop="1" x14ac:dyDescent="0.3">
      <c r="A19" s="14">
        <v>9</v>
      </c>
      <c r="B19" s="34" t="s">
        <v>77</v>
      </c>
      <c r="C19" s="14"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f t="shared" si="0"/>
        <v>20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f t="shared" si="1"/>
        <v>5</v>
      </c>
      <c r="AD19" s="14">
        <v>2</v>
      </c>
      <c r="AE19" s="14">
        <v>2</v>
      </c>
      <c r="AF19" s="14">
        <v>2</v>
      </c>
      <c r="AG19" s="14">
        <v>2</v>
      </c>
      <c r="AH19" s="14">
        <v>2</v>
      </c>
      <c r="AI19" s="14">
        <f t="shared" si="4"/>
        <v>10</v>
      </c>
      <c r="AJ19" s="14">
        <f t="shared" si="5"/>
        <v>35</v>
      </c>
      <c r="AK19" s="46">
        <f t="shared" si="6"/>
        <v>100</v>
      </c>
      <c r="AL19" s="37">
        <f t="shared" si="2"/>
        <v>1</v>
      </c>
      <c r="AM19" s="37" t="str">
        <f t="shared" si="3"/>
        <v xml:space="preserve"> </v>
      </c>
    </row>
    <row r="20" spans="1:41" ht="21.9" customHeight="1" x14ac:dyDescent="0.3">
      <c r="A20" s="14">
        <v>10</v>
      </c>
      <c r="B20" s="34" t="s">
        <v>79</v>
      </c>
      <c r="C20" s="14">
        <v>1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f t="shared" si="0"/>
        <v>20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f t="shared" si="1"/>
        <v>5</v>
      </c>
      <c r="AD20" s="14">
        <v>2</v>
      </c>
      <c r="AE20" s="14">
        <v>2</v>
      </c>
      <c r="AF20" s="14">
        <v>2</v>
      </c>
      <c r="AG20" s="14">
        <v>2</v>
      </c>
      <c r="AH20" s="14">
        <v>2</v>
      </c>
      <c r="AI20" s="14">
        <f t="shared" si="4"/>
        <v>10</v>
      </c>
      <c r="AJ20" s="14">
        <f t="shared" si="5"/>
        <v>35</v>
      </c>
      <c r="AK20" s="46">
        <f t="shared" si="6"/>
        <v>100</v>
      </c>
      <c r="AL20" s="37">
        <f t="shared" si="2"/>
        <v>1</v>
      </c>
      <c r="AM20" s="37" t="str">
        <f t="shared" si="3"/>
        <v xml:space="preserve"> </v>
      </c>
    </row>
    <row r="21" spans="1:41" ht="21.9" customHeight="1" x14ac:dyDescent="0.3">
      <c r="A21" s="14">
        <v>11</v>
      </c>
      <c r="B21" s="34" t="s">
        <v>80</v>
      </c>
      <c r="C21" s="14">
        <v>1</v>
      </c>
      <c r="D21" s="14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f t="shared" si="0"/>
        <v>20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f t="shared" si="1"/>
        <v>5</v>
      </c>
      <c r="AD21" s="14">
        <v>2</v>
      </c>
      <c r="AE21" s="14">
        <v>2</v>
      </c>
      <c r="AF21" s="14">
        <v>2</v>
      </c>
      <c r="AG21" s="14">
        <v>2</v>
      </c>
      <c r="AH21" s="14">
        <v>2</v>
      </c>
      <c r="AI21" s="14">
        <f t="shared" si="4"/>
        <v>10</v>
      </c>
      <c r="AJ21" s="14">
        <f t="shared" si="5"/>
        <v>35</v>
      </c>
      <c r="AK21" s="46">
        <f t="shared" si="6"/>
        <v>100</v>
      </c>
      <c r="AL21" s="37">
        <f t="shared" si="2"/>
        <v>1</v>
      </c>
      <c r="AM21" s="37" t="str">
        <f t="shared" si="3"/>
        <v xml:space="preserve"> </v>
      </c>
    </row>
    <row r="22" spans="1:41" ht="21.9" customHeight="1" x14ac:dyDescent="0.3">
      <c r="A22" s="14">
        <v>12</v>
      </c>
      <c r="B22" s="34" t="s">
        <v>81</v>
      </c>
      <c r="C22" s="14">
        <v>1</v>
      </c>
      <c r="D22" s="14">
        <v>1</v>
      </c>
      <c r="E22" s="14">
        <v>1</v>
      </c>
      <c r="F22" s="14">
        <v>1</v>
      </c>
      <c r="G22" s="14">
        <v>1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f t="shared" si="0"/>
        <v>20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f t="shared" si="1"/>
        <v>5</v>
      </c>
      <c r="AD22" s="14">
        <v>2</v>
      </c>
      <c r="AE22" s="14">
        <v>2</v>
      </c>
      <c r="AF22" s="14">
        <v>2</v>
      </c>
      <c r="AG22" s="14">
        <v>2</v>
      </c>
      <c r="AH22" s="14">
        <v>2</v>
      </c>
      <c r="AI22" s="14">
        <f t="shared" si="4"/>
        <v>10</v>
      </c>
      <c r="AJ22" s="14">
        <f t="shared" si="5"/>
        <v>35</v>
      </c>
      <c r="AK22" s="46">
        <f t="shared" si="6"/>
        <v>100</v>
      </c>
      <c r="AL22" s="37">
        <f t="shared" si="2"/>
        <v>1</v>
      </c>
      <c r="AM22" s="37" t="str">
        <f t="shared" si="3"/>
        <v xml:space="preserve"> </v>
      </c>
    </row>
    <row r="23" spans="1:41" ht="21.9" customHeight="1" x14ac:dyDescent="0.3">
      <c r="A23" s="14">
        <v>13</v>
      </c>
      <c r="B23" s="34" t="s">
        <v>84</v>
      </c>
      <c r="C23" s="14">
        <v>1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f t="shared" si="0"/>
        <v>20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f t="shared" si="1"/>
        <v>5</v>
      </c>
      <c r="AD23" s="14">
        <v>2</v>
      </c>
      <c r="AE23" s="14">
        <v>2</v>
      </c>
      <c r="AF23" s="14">
        <v>2</v>
      </c>
      <c r="AG23" s="14">
        <v>2</v>
      </c>
      <c r="AH23" s="14">
        <v>2</v>
      </c>
      <c r="AI23" s="14">
        <f t="shared" si="4"/>
        <v>10</v>
      </c>
      <c r="AJ23" s="14">
        <f t="shared" si="5"/>
        <v>35</v>
      </c>
      <c r="AK23" s="46">
        <f t="shared" si="6"/>
        <v>100</v>
      </c>
      <c r="AL23" s="37">
        <f t="shared" si="2"/>
        <v>1</v>
      </c>
      <c r="AM23" s="37" t="str">
        <f t="shared" si="3"/>
        <v xml:space="preserve"> </v>
      </c>
    </row>
    <row r="24" spans="1:41" ht="21.9" customHeight="1" x14ac:dyDescent="0.3">
      <c r="A24" s="14">
        <v>14</v>
      </c>
      <c r="B24" s="34" t="s">
        <v>61</v>
      </c>
      <c r="C24" s="14">
        <v>1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f t="shared" si="0"/>
        <v>20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f t="shared" si="1"/>
        <v>5</v>
      </c>
      <c r="AD24" s="14">
        <v>2</v>
      </c>
      <c r="AE24" s="14">
        <v>2</v>
      </c>
      <c r="AF24" s="14">
        <v>2</v>
      </c>
      <c r="AG24" s="14">
        <v>2</v>
      </c>
      <c r="AH24" s="14">
        <v>2</v>
      </c>
      <c r="AI24" s="14">
        <f t="shared" si="4"/>
        <v>10</v>
      </c>
      <c r="AJ24" s="14">
        <f t="shared" si="5"/>
        <v>35</v>
      </c>
      <c r="AK24" s="46">
        <f t="shared" si="6"/>
        <v>100</v>
      </c>
      <c r="AL24" s="37">
        <f t="shared" si="2"/>
        <v>1</v>
      </c>
      <c r="AM24" s="37" t="str">
        <f t="shared" si="3"/>
        <v xml:space="preserve"> </v>
      </c>
    </row>
    <row r="25" spans="1:41" ht="21.9" customHeight="1" x14ac:dyDescent="0.3">
      <c r="A25" s="14">
        <v>15</v>
      </c>
      <c r="B25" s="34" t="s">
        <v>108</v>
      </c>
      <c r="C25" s="14">
        <v>1</v>
      </c>
      <c r="D25" s="14">
        <v>1</v>
      </c>
      <c r="E25" s="14">
        <v>1</v>
      </c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f t="shared" si="0"/>
        <v>20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f t="shared" si="1"/>
        <v>5</v>
      </c>
      <c r="AD25" s="14">
        <v>2</v>
      </c>
      <c r="AE25" s="14">
        <v>2</v>
      </c>
      <c r="AF25" s="14">
        <v>2</v>
      </c>
      <c r="AG25" s="14">
        <v>2</v>
      </c>
      <c r="AH25" s="14">
        <v>2</v>
      </c>
      <c r="AI25" s="14">
        <f t="shared" si="4"/>
        <v>10</v>
      </c>
      <c r="AJ25" s="14">
        <f t="shared" si="5"/>
        <v>35</v>
      </c>
      <c r="AK25" s="46">
        <f t="shared" si="6"/>
        <v>100</v>
      </c>
      <c r="AL25" s="37">
        <f t="shared" si="2"/>
        <v>1</v>
      </c>
      <c r="AM25" s="37" t="str">
        <f t="shared" si="3"/>
        <v xml:space="preserve"> </v>
      </c>
    </row>
    <row r="26" spans="1:41" ht="21.9" customHeight="1" x14ac:dyDescent="0.3">
      <c r="A26" s="14">
        <v>16</v>
      </c>
      <c r="B26" s="34" t="s">
        <v>109</v>
      </c>
      <c r="C26" s="14">
        <v>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f t="shared" si="0"/>
        <v>20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f t="shared" si="1"/>
        <v>5</v>
      </c>
      <c r="AD26" s="14">
        <v>2</v>
      </c>
      <c r="AE26" s="14">
        <v>2</v>
      </c>
      <c r="AF26" s="14">
        <v>2</v>
      </c>
      <c r="AG26" s="14">
        <v>2</v>
      </c>
      <c r="AH26" s="14">
        <v>2</v>
      </c>
      <c r="AI26" s="14">
        <f t="shared" si="4"/>
        <v>10</v>
      </c>
      <c r="AJ26" s="14">
        <f t="shared" si="5"/>
        <v>35</v>
      </c>
      <c r="AK26" s="46">
        <f t="shared" si="6"/>
        <v>100</v>
      </c>
      <c r="AL26" s="37">
        <f t="shared" si="2"/>
        <v>1</v>
      </c>
      <c r="AM26" s="37" t="str">
        <f t="shared" si="3"/>
        <v xml:space="preserve"> </v>
      </c>
    </row>
    <row r="27" spans="1:41" ht="21.9" customHeight="1" x14ac:dyDescent="0.3">
      <c r="A27" s="14">
        <v>17</v>
      </c>
      <c r="B27" s="34" t="s">
        <v>110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f t="shared" si="0"/>
        <v>20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f t="shared" si="1"/>
        <v>5</v>
      </c>
      <c r="AD27" s="14">
        <v>2</v>
      </c>
      <c r="AE27" s="14">
        <v>2</v>
      </c>
      <c r="AF27" s="14">
        <v>2</v>
      </c>
      <c r="AG27" s="14">
        <v>2</v>
      </c>
      <c r="AH27" s="14">
        <v>2</v>
      </c>
      <c r="AI27" s="14">
        <f t="shared" si="4"/>
        <v>10</v>
      </c>
      <c r="AJ27" s="14">
        <f t="shared" si="5"/>
        <v>35</v>
      </c>
      <c r="AK27" s="46">
        <f t="shared" si="6"/>
        <v>100</v>
      </c>
      <c r="AL27" s="37">
        <f t="shared" si="2"/>
        <v>1</v>
      </c>
      <c r="AM27" s="37" t="str">
        <f t="shared" si="3"/>
        <v xml:space="preserve"> </v>
      </c>
    </row>
    <row r="28" spans="1:41" ht="21.9" customHeight="1" x14ac:dyDescent="0.3">
      <c r="A28" s="14">
        <v>18</v>
      </c>
      <c r="B28" s="34" t="s">
        <v>90</v>
      </c>
      <c r="C28" s="14">
        <v>1</v>
      </c>
      <c r="D28" s="14">
        <v>1</v>
      </c>
      <c r="E28" s="14">
        <v>1</v>
      </c>
      <c r="F28" s="14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f t="shared" si="0"/>
        <v>20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f t="shared" si="1"/>
        <v>5</v>
      </c>
      <c r="AD28" s="14">
        <v>2</v>
      </c>
      <c r="AE28" s="14">
        <v>2</v>
      </c>
      <c r="AF28" s="14">
        <v>2</v>
      </c>
      <c r="AG28" s="14">
        <v>2</v>
      </c>
      <c r="AH28" s="14">
        <v>2</v>
      </c>
      <c r="AI28" s="14">
        <f t="shared" si="4"/>
        <v>10</v>
      </c>
      <c r="AJ28" s="14">
        <f t="shared" si="5"/>
        <v>35</v>
      </c>
      <c r="AK28" s="46">
        <f t="shared" si="6"/>
        <v>100</v>
      </c>
      <c r="AL28" s="37">
        <f t="shared" si="2"/>
        <v>1</v>
      </c>
      <c r="AM28" s="37" t="str">
        <f t="shared" si="3"/>
        <v xml:space="preserve"> </v>
      </c>
    </row>
    <row r="29" spans="1:41" ht="21.9" customHeight="1" x14ac:dyDescent="0.3">
      <c r="A29" s="14">
        <v>19</v>
      </c>
      <c r="B29" s="34" t="s">
        <v>66</v>
      </c>
      <c r="C29" s="14">
        <v>1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f t="shared" si="0"/>
        <v>20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f t="shared" si="1"/>
        <v>5</v>
      </c>
      <c r="AD29" s="14">
        <v>2</v>
      </c>
      <c r="AE29" s="14">
        <v>2</v>
      </c>
      <c r="AF29" s="14">
        <v>2</v>
      </c>
      <c r="AG29" s="14">
        <v>2</v>
      </c>
      <c r="AH29" s="14">
        <v>2</v>
      </c>
      <c r="AI29" s="14">
        <f t="shared" si="4"/>
        <v>10</v>
      </c>
      <c r="AJ29" s="14">
        <f t="shared" si="5"/>
        <v>35</v>
      </c>
      <c r="AK29" s="46">
        <f t="shared" si="6"/>
        <v>100</v>
      </c>
      <c r="AL29" s="37">
        <f t="shared" si="2"/>
        <v>1</v>
      </c>
      <c r="AM29" s="37" t="str">
        <f t="shared" si="3"/>
        <v xml:space="preserve"> </v>
      </c>
    </row>
    <row r="30" spans="1:41" ht="21.9" customHeight="1" x14ac:dyDescent="0.3">
      <c r="A30" s="14">
        <v>20</v>
      </c>
      <c r="B30" s="34" t="s">
        <v>67</v>
      </c>
      <c r="C30" s="14">
        <v>1</v>
      </c>
      <c r="D30" s="14">
        <v>1</v>
      </c>
      <c r="E30" s="14">
        <v>1</v>
      </c>
      <c r="F30" s="14">
        <v>1</v>
      </c>
      <c r="G30" s="14">
        <v>1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f t="shared" si="0"/>
        <v>20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f t="shared" si="1"/>
        <v>5</v>
      </c>
      <c r="AD30" s="14">
        <v>2</v>
      </c>
      <c r="AE30" s="14">
        <v>2</v>
      </c>
      <c r="AF30" s="14">
        <v>2</v>
      </c>
      <c r="AG30" s="14">
        <v>2</v>
      </c>
      <c r="AH30" s="14">
        <v>2</v>
      </c>
      <c r="AI30" s="14">
        <f t="shared" si="4"/>
        <v>10</v>
      </c>
      <c r="AJ30" s="14">
        <f t="shared" si="5"/>
        <v>35</v>
      </c>
      <c r="AK30" s="46">
        <f t="shared" si="6"/>
        <v>100</v>
      </c>
      <c r="AL30" s="37">
        <f t="shared" si="2"/>
        <v>1</v>
      </c>
      <c r="AM30" s="37" t="str">
        <f t="shared" si="3"/>
        <v xml:space="preserve"> </v>
      </c>
    </row>
    <row r="31" spans="1:41" ht="21.9" customHeight="1" x14ac:dyDescent="0.3">
      <c r="A31" s="14">
        <v>21</v>
      </c>
      <c r="B31" s="34" t="s">
        <v>113</v>
      </c>
      <c r="C31" s="14">
        <v>1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f t="shared" si="0"/>
        <v>20</v>
      </c>
      <c r="X31" s="14">
        <v>1</v>
      </c>
      <c r="Y31" s="14">
        <v>1</v>
      </c>
      <c r="Z31" s="14">
        <v>1</v>
      </c>
      <c r="AA31" s="14">
        <v>1</v>
      </c>
      <c r="AB31" s="14">
        <v>1</v>
      </c>
      <c r="AC31" s="14">
        <f t="shared" si="1"/>
        <v>5</v>
      </c>
      <c r="AD31" s="14">
        <v>2</v>
      </c>
      <c r="AE31" s="14">
        <v>2</v>
      </c>
      <c r="AF31" s="14">
        <v>2</v>
      </c>
      <c r="AG31" s="14">
        <v>2</v>
      </c>
      <c r="AH31" s="14">
        <v>2</v>
      </c>
      <c r="AI31" s="14">
        <f t="shared" si="4"/>
        <v>10</v>
      </c>
      <c r="AJ31" s="14">
        <f t="shared" si="5"/>
        <v>35</v>
      </c>
      <c r="AK31" s="46">
        <f t="shared" si="6"/>
        <v>100</v>
      </c>
      <c r="AL31" s="37">
        <f t="shared" si="2"/>
        <v>1</v>
      </c>
      <c r="AM31" s="37" t="str">
        <f t="shared" si="3"/>
        <v xml:space="preserve"> </v>
      </c>
    </row>
    <row r="32" spans="1:41" ht="21.9" customHeight="1" x14ac:dyDescent="0.3">
      <c r="A32" s="14">
        <v>22</v>
      </c>
      <c r="B32" s="34" t="s">
        <v>114</v>
      </c>
      <c r="C32" s="14">
        <v>1</v>
      </c>
      <c r="D32" s="14">
        <v>1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f t="shared" si="0"/>
        <v>20</v>
      </c>
      <c r="X32" s="14">
        <v>1</v>
      </c>
      <c r="Y32" s="14">
        <v>1</v>
      </c>
      <c r="Z32" s="14">
        <v>1</v>
      </c>
      <c r="AA32" s="14">
        <v>1</v>
      </c>
      <c r="AB32" s="14">
        <v>1</v>
      </c>
      <c r="AC32" s="14">
        <f t="shared" si="1"/>
        <v>5</v>
      </c>
      <c r="AD32" s="14">
        <v>2</v>
      </c>
      <c r="AE32" s="14">
        <v>2</v>
      </c>
      <c r="AF32" s="14">
        <v>2</v>
      </c>
      <c r="AG32" s="14">
        <v>2</v>
      </c>
      <c r="AH32" s="14">
        <v>2</v>
      </c>
      <c r="AI32" s="14">
        <f t="shared" si="4"/>
        <v>10</v>
      </c>
      <c r="AJ32" s="14">
        <f t="shared" si="5"/>
        <v>35</v>
      </c>
      <c r="AK32" s="46">
        <f t="shared" si="6"/>
        <v>100</v>
      </c>
      <c r="AL32" s="37">
        <f t="shared" si="2"/>
        <v>1</v>
      </c>
      <c r="AM32" s="37" t="str">
        <f t="shared" si="3"/>
        <v xml:space="preserve"> </v>
      </c>
    </row>
    <row r="33" spans="1:39" ht="21.9" customHeight="1" x14ac:dyDescent="0.3">
      <c r="A33" s="14">
        <v>23</v>
      </c>
      <c r="B33" s="34" t="s">
        <v>115</v>
      </c>
      <c r="C33" s="14">
        <v>1</v>
      </c>
      <c r="D33" s="14">
        <v>1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f t="shared" si="0"/>
        <v>20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f t="shared" si="1"/>
        <v>5</v>
      </c>
      <c r="AD33" s="14">
        <v>2</v>
      </c>
      <c r="AE33" s="14">
        <v>2</v>
      </c>
      <c r="AF33" s="14">
        <v>2</v>
      </c>
      <c r="AG33" s="14">
        <v>2</v>
      </c>
      <c r="AH33" s="14">
        <v>2</v>
      </c>
      <c r="AI33" s="14">
        <f t="shared" si="4"/>
        <v>10</v>
      </c>
      <c r="AJ33" s="14">
        <f t="shared" si="5"/>
        <v>35</v>
      </c>
      <c r="AK33" s="46">
        <f t="shared" si="6"/>
        <v>100</v>
      </c>
      <c r="AL33" s="37">
        <f t="shared" si="2"/>
        <v>1</v>
      </c>
      <c r="AM33" s="37" t="str">
        <f t="shared" si="3"/>
        <v xml:space="preserve"> </v>
      </c>
    </row>
    <row r="34" spans="1:39" ht="21.9" customHeight="1" x14ac:dyDescent="0.3">
      <c r="A34" s="14">
        <v>24</v>
      </c>
      <c r="B34" s="34" t="s">
        <v>116</v>
      </c>
      <c r="C34" s="14">
        <v>1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>
        <v>1</v>
      </c>
      <c r="K34" s="14">
        <v>1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f t="shared" si="0"/>
        <v>20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f t="shared" si="1"/>
        <v>5</v>
      </c>
      <c r="AD34" s="14">
        <v>2</v>
      </c>
      <c r="AE34" s="14">
        <v>2</v>
      </c>
      <c r="AF34" s="14">
        <v>2</v>
      </c>
      <c r="AG34" s="14">
        <v>2</v>
      </c>
      <c r="AH34" s="14">
        <v>2</v>
      </c>
      <c r="AI34" s="14">
        <f t="shared" si="4"/>
        <v>10</v>
      </c>
      <c r="AJ34" s="14">
        <f t="shared" si="5"/>
        <v>35</v>
      </c>
      <c r="AK34" s="46">
        <f t="shared" si="6"/>
        <v>100</v>
      </c>
      <c r="AL34" s="37">
        <f t="shared" si="2"/>
        <v>1</v>
      </c>
      <c r="AM34" s="37" t="str">
        <f t="shared" si="3"/>
        <v xml:space="preserve"> </v>
      </c>
    </row>
    <row r="35" spans="1:39" ht="21.9" customHeight="1" x14ac:dyDescent="0.3">
      <c r="A35" s="14">
        <v>25</v>
      </c>
      <c r="B35" s="47" t="s">
        <v>269</v>
      </c>
      <c r="C35" s="14">
        <v>1</v>
      </c>
      <c r="D35" s="1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f t="shared" si="0"/>
        <v>20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f>SUM(X35:AB35)</f>
        <v>5</v>
      </c>
      <c r="AD35" s="14">
        <v>2</v>
      </c>
      <c r="AE35" s="14">
        <v>2</v>
      </c>
      <c r="AF35" s="14">
        <v>2</v>
      </c>
      <c r="AG35" s="14">
        <v>2</v>
      </c>
      <c r="AH35" s="14">
        <v>2</v>
      </c>
      <c r="AI35" s="14">
        <f t="shared" si="4"/>
        <v>10</v>
      </c>
      <c r="AJ35" s="14">
        <f t="shared" si="5"/>
        <v>35</v>
      </c>
      <c r="AK35" s="46">
        <f t="shared" si="6"/>
        <v>100</v>
      </c>
      <c r="AL35" s="37"/>
      <c r="AM35" s="37" t="str">
        <f t="shared" si="3"/>
        <v xml:space="preserve"> </v>
      </c>
    </row>
    <row r="36" spans="1:39" ht="20.100000000000001" customHeight="1" x14ac:dyDescent="0.3">
      <c r="A36" s="16" t="s">
        <v>36</v>
      </c>
      <c r="B36" s="17"/>
      <c r="C36" s="31">
        <f t="shared" ref="C36:V36" si="7">SUM(C11:C35)</f>
        <v>25</v>
      </c>
      <c r="D36" s="31">
        <f t="shared" si="7"/>
        <v>25</v>
      </c>
      <c r="E36" s="31">
        <f t="shared" si="7"/>
        <v>25</v>
      </c>
      <c r="F36" s="31">
        <f t="shared" si="7"/>
        <v>25</v>
      </c>
      <c r="G36" s="31">
        <f t="shared" si="7"/>
        <v>25</v>
      </c>
      <c r="H36" s="31">
        <f t="shared" si="7"/>
        <v>25</v>
      </c>
      <c r="I36" s="31">
        <f t="shared" si="7"/>
        <v>25</v>
      </c>
      <c r="J36" s="31">
        <f t="shared" si="7"/>
        <v>25</v>
      </c>
      <c r="K36" s="31">
        <f t="shared" si="7"/>
        <v>25</v>
      </c>
      <c r="L36" s="31">
        <f t="shared" si="7"/>
        <v>25</v>
      </c>
      <c r="M36" s="31">
        <f t="shared" si="7"/>
        <v>25</v>
      </c>
      <c r="N36" s="31">
        <f t="shared" si="7"/>
        <v>25</v>
      </c>
      <c r="O36" s="31">
        <f t="shared" si="7"/>
        <v>25</v>
      </c>
      <c r="P36" s="31">
        <f t="shared" si="7"/>
        <v>25</v>
      </c>
      <c r="Q36" s="31">
        <f t="shared" si="7"/>
        <v>25</v>
      </c>
      <c r="R36" s="31">
        <f t="shared" si="7"/>
        <v>25</v>
      </c>
      <c r="S36" s="31">
        <f t="shared" si="7"/>
        <v>25</v>
      </c>
      <c r="T36" s="31">
        <f t="shared" si="7"/>
        <v>25</v>
      </c>
      <c r="U36" s="31">
        <f t="shared" si="7"/>
        <v>25</v>
      </c>
      <c r="V36" s="31">
        <f t="shared" si="7"/>
        <v>25</v>
      </c>
      <c r="W36" s="65"/>
      <c r="X36" s="31">
        <f>SUM(X11:X35)</f>
        <v>25</v>
      </c>
      <c r="Y36" s="31">
        <f>SUM(Y11:Y35)</f>
        <v>25</v>
      </c>
      <c r="Z36" s="31">
        <f>SUM(Z11:Z35)</f>
        <v>25</v>
      </c>
      <c r="AA36" s="31">
        <f>SUM(AA11:AA35)</f>
        <v>25</v>
      </c>
      <c r="AB36" s="31">
        <f>SUM(AB11:AB35)</f>
        <v>25</v>
      </c>
      <c r="AC36" s="67"/>
      <c r="AD36" s="31">
        <f>SUM(AD11:AD35)</f>
        <v>50</v>
      </c>
      <c r="AE36" s="31">
        <f>SUM(AE11:AE35)</f>
        <v>50</v>
      </c>
      <c r="AF36" s="31">
        <f>SUM(AF11:AF35)</f>
        <v>50</v>
      </c>
      <c r="AG36" s="31">
        <f>SUM(AG11:AG35)</f>
        <v>50</v>
      </c>
      <c r="AH36" s="31">
        <f>SUM(AH11:AH35)</f>
        <v>50</v>
      </c>
      <c r="AI36" s="65"/>
      <c r="AJ36" s="69">
        <f>SUM(AJ11:AJ35)</f>
        <v>875</v>
      </c>
      <c r="AK36" s="71">
        <f>SUM(AK11:AK35)</f>
        <v>2500</v>
      </c>
      <c r="AL36" s="60">
        <f>SUM(AL11:AL35)</f>
        <v>24</v>
      </c>
      <c r="AM36" s="60">
        <f>SUM(AM11:AM35)</f>
        <v>0</v>
      </c>
    </row>
    <row r="37" spans="1:39" ht="20.100000000000001" customHeight="1" x14ac:dyDescent="0.3">
      <c r="A37" s="18" t="s">
        <v>37</v>
      </c>
      <c r="B37" s="17"/>
      <c r="C37" s="33">
        <f>C36*100/25</f>
        <v>100</v>
      </c>
      <c r="D37" s="33">
        <f t="shared" ref="D37:V37" si="8">D36*100/25</f>
        <v>100</v>
      </c>
      <c r="E37" s="33">
        <f t="shared" si="8"/>
        <v>100</v>
      </c>
      <c r="F37" s="33">
        <f t="shared" si="8"/>
        <v>100</v>
      </c>
      <c r="G37" s="33">
        <f t="shared" si="8"/>
        <v>100</v>
      </c>
      <c r="H37" s="33">
        <f t="shared" si="8"/>
        <v>100</v>
      </c>
      <c r="I37" s="33">
        <f t="shared" si="8"/>
        <v>100</v>
      </c>
      <c r="J37" s="33">
        <f t="shared" si="8"/>
        <v>100</v>
      </c>
      <c r="K37" s="33">
        <f t="shared" si="8"/>
        <v>100</v>
      </c>
      <c r="L37" s="33">
        <f t="shared" si="8"/>
        <v>100</v>
      </c>
      <c r="M37" s="33">
        <f t="shared" si="8"/>
        <v>100</v>
      </c>
      <c r="N37" s="33">
        <f t="shared" si="8"/>
        <v>100</v>
      </c>
      <c r="O37" s="33">
        <f t="shared" si="8"/>
        <v>100</v>
      </c>
      <c r="P37" s="33">
        <f t="shared" si="8"/>
        <v>100</v>
      </c>
      <c r="Q37" s="33">
        <f t="shared" si="8"/>
        <v>100</v>
      </c>
      <c r="R37" s="33">
        <f t="shared" si="8"/>
        <v>100</v>
      </c>
      <c r="S37" s="33">
        <f t="shared" si="8"/>
        <v>100</v>
      </c>
      <c r="T37" s="33">
        <f t="shared" si="8"/>
        <v>100</v>
      </c>
      <c r="U37" s="33">
        <f t="shared" si="8"/>
        <v>100</v>
      </c>
      <c r="V37" s="33">
        <f t="shared" si="8"/>
        <v>100</v>
      </c>
      <c r="W37" s="66"/>
      <c r="X37" s="33">
        <f>X36*100/25</f>
        <v>100</v>
      </c>
      <c r="Y37" s="33">
        <f t="shared" ref="Y37:AB37" si="9">Y36*100/25</f>
        <v>100</v>
      </c>
      <c r="Z37" s="33">
        <f t="shared" si="9"/>
        <v>100</v>
      </c>
      <c r="AA37" s="33">
        <f t="shared" si="9"/>
        <v>100</v>
      </c>
      <c r="AB37" s="33">
        <f t="shared" si="9"/>
        <v>100</v>
      </c>
      <c r="AC37" s="68"/>
      <c r="AD37" s="33">
        <f>AD36*100/25</f>
        <v>200</v>
      </c>
      <c r="AE37" s="33">
        <f t="shared" ref="AE37:AH37" si="10">AE36*100/25</f>
        <v>200</v>
      </c>
      <c r="AF37" s="33">
        <f t="shared" si="10"/>
        <v>200</v>
      </c>
      <c r="AG37" s="33">
        <f t="shared" si="10"/>
        <v>200</v>
      </c>
      <c r="AH37" s="33">
        <f t="shared" si="10"/>
        <v>200</v>
      </c>
      <c r="AI37" s="66"/>
      <c r="AJ37" s="70"/>
      <c r="AK37" s="70"/>
      <c r="AL37" s="61"/>
      <c r="AM37" s="61"/>
    </row>
    <row r="39" spans="1:39" ht="20.100000000000001" customHeight="1" x14ac:dyDescent="0.3">
      <c r="A39" s="20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3"/>
      <c r="AK39" s="23"/>
      <c r="AL39" s="24"/>
    </row>
    <row r="40" spans="1:39" ht="20.100000000000001" customHeight="1" x14ac:dyDescent="0.3">
      <c r="A40" s="25"/>
      <c r="B40" s="26"/>
      <c r="C40" s="39" t="s">
        <v>38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 t="s">
        <v>215</v>
      </c>
      <c r="AF40" s="26"/>
      <c r="AG40" s="26"/>
      <c r="AH40" s="26"/>
      <c r="AI40" s="26"/>
      <c r="AJ40" s="26"/>
      <c r="AK40" s="26"/>
      <c r="AL40" s="25"/>
    </row>
    <row r="41" spans="1:39" ht="20.100000000000001" customHeight="1" x14ac:dyDescent="0.3">
      <c r="A41" s="25"/>
      <c r="B41" s="26"/>
      <c r="C41" s="26" t="s">
        <v>39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45"/>
      <c r="X41" s="45"/>
      <c r="Y41" s="45"/>
      <c r="Z41" s="45"/>
      <c r="AA41" s="45"/>
      <c r="AB41" s="45"/>
      <c r="AC41" s="45"/>
      <c r="AD41" s="26"/>
      <c r="AE41" s="26" t="s">
        <v>214</v>
      </c>
      <c r="AF41" s="26"/>
      <c r="AG41" s="26"/>
      <c r="AH41" s="26"/>
      <c r="AI41" s="26"/>
      <c r="AJ41" s="26"/>
      <c r="AK41" s="26"/>
      <c r="AL41" s="25"/>
    </row>
    <row r="42" spans="1:39" ht="20.100000000000001" customHeight="1" x14ac:dyDescent="0.3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45"/>
      <c r="AD42" s="45"/>
      <c r="AE42" s="45"/>
      <c r="AF42" s="26"/>
      <c r="AG42" s="26"/>
      <c r="AH42" s="26"/>
      <c r="AI42" s="26"/>
      <c r="AJ42" s="26"/>
      <c r="AK42" s="26"/>
      <c r="AL42" s="25"/>
    </row>
    <row r="43" spans="1:39" ht="20.100000000000001" customHeight="1" x14ac:dyDescent="0.3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5"/>
    </row>
    <row r="44" spans="1:39" ht="20.100000000000001" customHeight="1" x14ac:dyDescent="0.3">
      <c r="A44" s="25"/>
      <c r="B44" s="26"/>
      <c r="C44" s="28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5"/>
    </row>
    <row r="45" spans="1:39" ht="20.100000000000001" customHeight="1" x14ac:dyDescent="0.3">
      <c r="A45" s="25"/>
      <c r="B45" s="26"/>
      <c r="C45" s="28" t="s">
        <v>40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9"/>
      <c r="X45" s="29"/>
      <c r="Y45" s="29"/>
      <c r="Z45" s="29"/>
      <c r="AA45" s="29"/>
      <c r="AB45" s="29"/>
      <c r="AC45" s="26"/>
      <c r="AD45" s="39"/>
      <c r="AE45" s="29" t="s">
        <v>68</v>
      </c>
      <c r="AF45" s="26"/>
      <c r="AG45" s="26"/>
      <c r="AH45" s="26"/>
      <c r="AI45" s="26"/>
      <c r="AJ45" s="26"/>
      <c r="AK45" s="26"/>
      <c r="AL45" s="25"/>
    </row>
  </sheetData>
  <mergeCells count="17">
    <mergeCell ref="AJ36:AJ37"/>
    <mergeCell ref="AK36:AK37"/>
    <mergeCell ref="AL36:AL37"/>
    <mergeCell ref="AM36:AM37"/>
    <mergeCell ref="AO13:AO14"/>
    <mergeCell ref="A1:AM1"/>
    <mergeCell ref="A2:AM2"/>
    <mergeCell ref="A8:A9"/>
    <mergeCell ref="B8:B9"/>
    <mergeCell ref="C8:V8"/>
    <mergeCell ref="X8:AB8"/>
    <mergeCell ref="AD8:AH8"/>
    <mergeCell ref="AK8:AK9"/>
    <mergeCell ref="AL8:AM8"/>
    <mergeCell ref="W36:W37"/>
    <mergeCell ref="AC36:AC37"/>
    <mergeCell ref="AI36:AI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13FE-EFD8-4677-A2D5-3B0786D7073A}">
  <dimension ref="A1:AO46"/>
  <sheetViews>
    <sheetView zoomScale="55" zoomScaleNormal="55" workbookViewId="0">
      <selection activeCell="AD11" sqref="AD11:AH36"/>
    </sheetView>
  </sheetViews>
  <sheetFormatPr defaultColWidth="9.109375" defaultRowHeight="13.8" x14ac:dyDescent="0.3"/>
  <cols>
    <col min="1" max="1" width="4.44140625" style="1" customWidth="1"/>
    <col min="2" max="2" width="38.5546875" style="1" customWidth="1"/>
    <col min="3" max="3" width="4.6640625" style="1" customWidth="1"/>
    <col min="4" max="22" width="3.6640625" style="1" customWidth="1"/>
    <col min="23" max="23" width="9.109375" style="13"/>
    <col min="24" max="28" width="4.6640625" style="1" customWidth="1"/>
    <col min="29" max="29" width="9.109375" style="13"/>
    <col min="30" max="34" width="4.6640625" style="1" customWidth="1"/>
    <col min="35" max="36" width="9.109375" style="1"/>
    <col min="37" max="37" width="11.21875" style="1" customWidth="1"/>
    <col min="38" max="40" width="9.109375" style="1"/>
    <col min="41" max="41" width="87.5546875" style="1" bestFit="1" customWidth="1"/>
    <col min="42" max="16384" width="9.109375" style="1"/>
  </cols>
  <sheetData>
    <row r="1" spans="1:41" ht="20.100000000000001" customHeight="1" x14ac:dyDescent="0.3">
      <c r="A1" s="54" t="s">
        <v>212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41" ht="20.100000000000001" customHeight="1" x14ac:dyDescent="0.3">
      <c r="A2" s="55" t="s">
        <v>213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1" ht="20.100000000000001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  <c r="X3" s="10"/>
      <c r="Y3" s="10"/>
      <c r="Z3" s="10"/>
      <c r="AA3" s="10"/>
      <c r="AB3" s="10"/>
      <c r="AC3" s="19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ht="20.100000000000001" customHeight="1" x14ac:dyDescent="0.3">
      <c r="A4" s="2"/>
      <c r="B4" s="9" t="s">
        <v>0</v>
      </c>
      <c r="C4" s="2"/>
      <c r="D4" s="9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  <c r="X4" s="10"/>
      <c r="Y4" s="10"/>
      <c r="Z4" s="10"/>
      <c r="AA4" s="10"/>
      <c r="AB4" s="10"/>
      <c r="AC4" s="19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20.100000000000001" customHeight="1" x14ac:dyDescent="0.3">
      <c r="A5" s="2"/>
      <c r="B5" s="9" t="s">
        <v>2</v>
      </c>
      <c r="C5" s="2"/>
      <c r="D5" s="11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  <c r="X5" s="10"/>
      <c r="Y5" s="10"/>
      <c r="Z5" s="10"/>
      <c r="AA5" s="10"/>
      <c r="AB5" s="10"/>
      <c r="AC5" s="19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1" ht="20.100000000000001" customHeight="1" x14ac:dyDescent="0.3">
      <c r="A6" s="2"/>
      <c r="B6" s="9" t="s">
        <v>3</v>
      </c>
      <c r="C6" s="2"/>
      <c r="D6" s="11" t="s">
        <v>147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  <c r="X6" s="10"/>
      <c r="Y6" s="10"/>
      <c r="Z6" s="10"/>
      <c r="AA6" s="10"/>
      <c r="AB6" s="10"/>
      <c r="AC6" s="19"/>
      <c r="AD6" s="2"/>
      <c r="AE6" s="2"/>
      <c r="AF6" s="2"/>
      <c r="AG6" s="2"/>
      <c r="AH6" s="2"/>
      <c r="AI6" s="2"/>
      <c r="AJ6" s="2"/>
      <c r="AK6" s="2"/>
      <c r="AL6" s="2"/>
      <c r="AM6" s="2"/>
    </row>
    <row r="8" spans="1:41" ht="30" customHeight="1" x14ac:dyDescent="0.3">
      <c r="A8" s="60" t="s">
        <v>4</v>
      </c>
      <c r="B8" s="60" t="s">
        <v>5</v>
      </c>
      <c r="C8" s="62" t="s">
        <v>6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40" t="s">
        <v>7</v>
      </c>
      <c r="X8" s="62" t="s">
        <v>8</v>
      </c>
      <c r="Y8" s="63"/>
      <c r="Z8" s="63"/>
      <c r="AA8" s="63"/>
      <c r="AB8" s="63"/>
      <c r="AC8" s="40" t="s">
        <v>7</v>
      </c>
      <c r="AD8" s="62" t="s">
        <v>42</v>
      </c>
      <c r="AE8" s="63"/>
      <c r="AF8" s="63"/>
      <c r="AG8" s="63"/>
      <c r="AH8" s="64"/>
      <c r="AI8" s="40" t="s">
        <v>7</v>
      </c>
      <c r="AJ8" s="40" t="s">
        <v>9</v>
      </c>
      <c r="AK8" s="56" t="s">
        <v>10</v>
      </c>
      <c r="AL8" s="58" t="s">
        <v>280</v>
      </c>
      <c r="AM8" s="59"/>
    </row>
    <row r="9" spans="1:41" ht="20.100000000000001" customHeight="1" x14ac:dyDescent="0.3">
      <c r="A9" s="61"/>
      <c r="B9" s="61"/>
      <c r="C9" s="30" t="s">
        <v>11</v>
      </c>
      <c r="D9" s="30" t="s">
        <v>12</v>
      </c>
      <c r="E9" s="30" t="s">
        <v>13</v>
      </c>
      <c r="F9" s="30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30" t="s">
        <v>21</v>
      </c>
      <c r="N9" s="30" t="s">
        <v>22</v>
      </c>
      <c r="O9" s="30" t="s">
        <v>23</v>
      </c>
      <c r="P9" s="30" t="s">
        <v>24</v>
      </c>
      <c r="Q9" s="30" t="s">
        <v>25</v>
      </c>
      <c r="R9" s="30" t="s">
        <v>26</v>
      </c>
      <c r="S9" s="30" t="s">
        <v>27</v>
      </c>
      <c r="T9" s="30" t="s">
        <v>28</v>
      </c>
      <c r="U9" s="30" t="s">
        <v>29</v>
      </c>
      <c r="V9" s="30" t="s">
        <v>30</v>
      </c>
      <c r="W9" s="5" t="s">
        <v>31</v>
      </c>
      <c r="X9" s="6">
        <v>1</v>
      </c>
      <c r="Y9" s="6">
        <v>2</v>
      </c>
      <c r="Z9" s="6">
        <v>3</v>
      </c>
      <c r="AA9" s="6">
        <v>4</v>
      </c>
      <c r="AB9" s="6">
        <v>5</v>
      </c>
      <c r="AC9" s="5" t="s">
        <v>31</v>
      </c>
      <c r="AD9" s="6">
        <v>1</v>
      </c>
      <c r="AE9" s="6">
        <v>2</v>
      </c>
      <c r="AF9" s="6">
        <v>3</v>
      </c>
      <c r="AG9" s="6">
        <v>4</v>
      </c>
      <c r="AH9" s="6">
        <v>5</v>
      </c>
      <c r="AI9" s="5" t="s">
        <v>32</v>
      </c>
      <c r="AJ9" s="38"/>
      <c r="AK9" s="57"/>
      <c r="AL9" s="7" t="s">
        <v>33</v>
      </c>
      <c r="AM9" s="7" t="s">
        <v>34</v>
      </c>
    </row>
    <row r="10" spans="1:41" ht="6.9" customHeight="1" thickBot="1" x14ac:dyDescent="0.35">
      <c r="A10" s="8"/>
      <c r="B10" s="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15"/>
      <c r="X10" s="8"/>
      <c r="Y10" s="8"/>
      <c r="Z10" s="8"/>
      <c r="AA10" s="8"/>
      <c r="AB10" s="8"/>
      <c r="AC10" s="15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41" ht="21.9" customHeight="1" thickTop="1" x14ac:dyDescent="0.3">
      <c r="A11" s="14">
        <v>1</v>
      </c>
      <c r="B11" s="34" t="s">
        <v>43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f t="shared" ref="W11:W36" si="0">SUM(C11:V11)</f>
        <v>20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f>SUM(X11:AB11)</f>
        <v>5</v>
      </c>
      <c r="AD11" s="14">
        <v>2</v>
      </c>
      <c r="AE11" s="14">
        <v>2</v>
      </c>
      <c r="AF11" s="14">
        <v>2</v>
      </c>
      <c r="AG11" s="14">
        <v>2</v>
      </c>
      <c r="AH11" s="14">
        <v>2</v>
      </c>
      <c r="AI11" s="14">
        <f>SUM(AD11:AH11)*1</f>
        <v>10</v>
      </c>
      <c r="AJ11" s="14">
        <f>SUM(W11,AC11,AI11)</f>
        <v>35</v>
      </c>
      <c r="AK11" s="46">
        <f>AJ11*100/35</f>
        <v>100</v>
      </c>
      <c r="AL11" s="37">
        <f>IF(AK11&gt;70,1," ")</f>
        <v>1</v>
      </c>
      <c r="AM11" s="37" t="str">
        <f>IF(AK11&lt;70,1," ")</f>
        <v xml:space="preserve"> </v>
      </c>
      <c r="AO11" s="41" t="s">
        <v>183</v>
      </c>
    </row>
    <row r="12" spans="1:41" ht="21.9" customHeight="1" x14ac:dyDescent="0.3">
      <c r="A12" s="14">
        <v>2</v>
      </c>
      <c r="B12" s="34" t="s">
        <v>44</v>
      </c>
      <c r="C12" s="14">
        <v>1</v>
      </c>
      <c r="D12" s="14">
        <v>1</v>
      </c>
      <c r="E12" s="14">
        <v>1</v>
      </c>
      <c r="F12" s="14">
        <v>1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f t="shared" si="0"/>
        <v>20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f t="shared" ref="AC12:AC36" si="1">SUM(X12:AB12)</f>
        <v>5</v>
      </c>
      <c r="AD12" s="14">
        <v>2</v>
      </c>
      <c r="AE12" s="14">
        <v>2</v>
      </c>
      <c r="AF12" s="14">
        <v>2</v>
      </c>
      <c r="AG12" s="14">
        <v>2</v>
      </c>
      <c r="AH12" s="14">
        <v>2</v>
      </c>
      <c r="AI12" s="14">
        <f>SUM(AD12:AH12)*1</f>
        <v>10</v>
      </c>
      <c r="AJ12" s="14">
        <f>SUM(W12,AC12,AI12)</f>
        <v>35</v>
      </c>
      <c r="AK12" s="46">
        <f>AJ12*100/35</f>
        <v>100</v>
      </c>
      <c r="AL12" s="37">
        <f t="shared" ref="AL12:AL36" si="2">IF(AK12&gt;70,1," ")</f>
        <v>1</v>
      </c>
      <c r="AM12" s="37" t="str">
        <f t="shared" ref="AM12:AM36" si="3">IF(AK12&lt;70,1," ")</f>
        <v xml:space="preserve"> </v>
      </c>
      <c r="AO12" s="42" t="s">
        <v>268</v>
      </c>
    </row>
    <row r="13" spans="1:41" ht="21.9" customHeight="1" x14ac:dyDescent="0.3">
      <c r="A13" s="14">
        <v>3</v>
      </c>
      <c r="B13" s="34" t="s">
        <v>93</v>
      </c>
      <c r="C13" s="14">
        <v>1</v>
      </c>
      <c r="D13" s="1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f t="shared" si="0"/>
        <v>20</v>
      </c>
      <c r="X13" s="14">
        <v>1</v>
      </c>
      <c r="Y13" s="14">
        <v>1</v>
      </c>
      <c r="Z13" s="14">
        <v>1</v>
      </c>
      <c r="AA13" s="14">
        <v>1</v>
      </c>
      <c r="AB13" s="14">
        <v>1</v>
      </c>
      <c r="AC13" s="14">
        <f t="shared" si="1"/>
        <v>5</v>
      </c>
      <c r="AD13" s="14">
        <v>2</v>
      </c>
      <c r="AE13" s="14">
        <v>2</v>
      </c>
      <c r="AF13" s="14">
        <v>2</v>
      </c>
      <c r="AG13" s="14">
        <v>2</v>
      </c>
      <c r="AH13" s="14">
        <v>2</v>
      </c>
      <c r="AI13" s="14">
        <f t="shared" ref="AI13:AI36" si="4">SUM(AD13:AH13)*1</f>
        <v>10</v>
      </c>
      <c r="AJ13" s="14">
        <f t="shared" ref="AJ13:AJ36" si="5">SUM(W13,AC13,AI13)</f>
        <v>35</v>
      </c>
      <c r="AK13" s="46">
        <f t="shared" ref="AK13:AK36" si="6">AJ13*100/35</f>
        <v>100</v>
      </c>
      <c r="AL13" s="37">
        <f t="shared" si="2"/>
        <v>1</v>
      </c>
      <c r="AM13" s="37" t="str">
        <f t="shared" si="3"/>
        <v xml:space="preserve"> </v>
      </c>
      <c r="AO13" s="53" t="s">
        <v>275</v>
      </c>
    </row>
    <row r="14" spans="1:41" ht="21.9" customHeight="1" x14ac:dyDescent="0.3">
      <c r="A14" s="14">
        <v>4</v>
      </c>
      <c r="B14" s="34" t="s">
        <v>94</v>
      </c>
      <c r="C14" s="14">
        <v>1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f t="shared" si="0"/>
        <v>20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f t="shared" si="1"/>
        <v>5</v>
      </c>
      <c r="AD14" s="14">
        <v>2</v>
      </c>
      <c r="AE14" s="14">
        <v>2</v>
      </c>
      <c r="AF14" s="14">
        <v>2</v>
      </c>
      <c r="AG14" s="14">
        <v>2</v>
      </c>
      <c r="AH14" s="14">
        <v>2</v>
      </c>
      <c r="AI14" s="14">
        <f t="shared" si="4"/>
        <v>10</v>
      </c>
      <c r="AJ14" s="14">
        <f t="shared" si="5"/>
        <v>35</v>
      </c>
      <c r="AK14" s="46">
        <f t="shared" si="6"/>
        <v>100</v>
      </c>
      <c r="AL14" s="37">
        <f t="shared" si="2"/>
        <v>1</v>
      </c>
      <c r="AM14" s="37" t="str">
        <f t="shared" si="3"/>
        <v xml:space="preserve"> </v>
      </c>
      <c r="AO14" s="53"/>
    </row>
    <row r="15" spans="1:41" ht="21.9" customHeight="1" x14ac:dyDescent="0.3">
      <c r="A15" s="14">
        <v>5</v>
      </c>
      <c r="B15" s="34" t="s">
        <v>95</v>
      </c>
      <c r="C15" s="14">
        <v>1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f t="shared" si="0"/>
        <v>20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f t="shared" si="1"/>
        <v>5</v>
      </c>
      <c r="AD15" s="14">
        <v>2</v>
      </c>
      <c r="AE15" s="14">
        <v>2</v>
      </c>
      <c r="AF15" s="14">
        <v>2</v>
      </c>
      <c r="AG15" s="14">
        <v>2</v>
      </c>
      <c r="AH15" s="14">
        <v>2</v>
      </c>
      <c r="AI15" s="14">
        <f t="shared" si="4"/>
        <v>10</v>
      </c>
      <c r="AJ15" s="14">
        <f t="shared" si="5"/>
        <v>35</v>
      </c>
      <c r="AK15" s="46">
        <f t="shared" si="6"/>
        <v>100</v>
      </c>
      <c r="AL15" s="37">
        <f t="shared" si="2"/>
        <v>1</v>
      </c>
      <c r="AM15" s="37" t="str">
        <f t="shared" si="3"/>
        <v xml:space="preserve"> </v>
      </c>
      <c r="AO15" s="50" t="s">
        <v>276</v>
      </c>
    </row>
    <row r="16" spans="1:41" ht="21.9" customHeight="1" x14ac:dyDescent="0.3">
      <c r="A16" s="14">
        <v>6</v>
      </c>
      <c r="B16" s="34" t="s">
        <v>96</v>
      </c>
      <c r="C16" s="14">
        <v>1</v>
      </c>
      <c r="D16" s="14">
        <v>1</v>
      </c>
      <c r="E16" s="14">
        <v>1</v>
      </c>
      <c r="F16" s="14">
        <v>1</v>
      </c>
      <c r="G16" s="14">
        <v>1</v>
      </c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f t="shared" si="0"/>
        <v>20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f t="shared" si="1"/>
        <v>5</v>
      </c>
      <c r="AD16" s="14">
        <v>2</v>
      </c>
      <c r="AE16" s="14">
        <v>2</v>
      </c>
      <c r="AF16" s="14">
        <v>2</v>
      </c>
      <c r="AG16" s="14">
        <v>2</v>
      </c>
      <c r="AH16" s="14">
        <v>2</v>
      </c>
      <c r="AI16" s="14">
        <f t="shared" si="4"/>
        <v>10</v>
      </c>
      <c r="AJ16" s="14">
        <f t="shared" si="5"/>
        <v>35</v>
      </c>
      <c r="AK16" s="46">
        <f t="shared" si="6"/>
        <v>100</v>
      </c>
      <c r="AL16" s="37">
        <f t="shared" si="2"/>
        <v>1</v>
      </c>
      <c r="AM16" s="37" t="str">
        <f t="shared" si="3"/>
        <v xml:space="preserve"> </v>
      </c>
      <c r="AO16" s="51" t="s">
        <v>277</v>
      </c>
    </row>
    <row r="17" spans="1:41" ht="21.9" customHeight="1" x14ac:dyDescent="0.3">
      <c r="A17" s="14">
        <v>7</v>
      </c>
      <c r="B17" s="34" t="s">
        <v>74</v>
      </c>
      <c r="C17" s="14">
        <v>1</v>
      </c>
      <c r="D17" s="1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f t="shared" si="0"/>
        <v>20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f t="shared" si="1"/>
        <v>5</v>
      </c>
      <c r="AD17" s="14">
        <v>2</v>
      </c>
      <c r="AE17" s="14">
        <v>2</v>
      </c>
      <c r="AF17" s="14">
        <v>2</v>
      </c>
      <c r="AG17" s="14">
        <v>2</v>
      </c>
      <c r="AH17" s="14">
        <v>2</v>
      </c>
      <c r="AI17" s="14">
        <f t="shared" si="4"/>
        <v>10</v>
      </c>
      <c r="AJ17" s="14">
        <f t="shared" si="5"/>
        <v>35</v>
      </c>
      <c r="AK17" s="46">
        <f t="shared" si="6"/>
        <v>100</v>
      </c>
      <c r="AL17" s="37">
        <f t="shared" si="2"/>
        <v>1</v>
      </c>
      <c r="AM17" s="37" t="str">
        <f t="shared" si="3"/>
        <v xml:space="preserve"> </v>
      </c>
      <c r="AO17" s="51" t="s">
        <v>278</v>
      </c>
    </row>
    <row r="18" spans="1:41" ht="21.9" customHeight="1" thickBot="1" x14ac:dyDescent="0.35">
      <c r="A18" s="14">
        <v>8</v>
      </c>
      <c r="B18" s="34" t="s">
        <v>50</v>
      </c>
      <c r="C18" s="14">
        <v>1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f t="shared" si="0"/>
        <v>20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f t="shared" si="1"/>
        <v>5</v>
      </c>
      <c r="AD18" s="14">
        <v>2</v>
      </c>
      <c r="AE18" s="14">
        <v>2</v>
      </c>
      <c r="AF18" s="14">
        <v>2</v>
      </c>
      <c r="AG18" s="14">
        <v>2</v>
      </c>
      <c r="AH18" s="14">
        <v>2</v>
      </c>
      <c r="AI18" s="14">
        <f t="shared" si="4"/>
        <v>10</v>
      </c>
      <c r="AJ18" s="14">
        <f t="shared" si="5"/>
        <v>35</v>
      </c>
      <c r="AK18" s="46">
        <f t="shared" si="6"/>
        <v>100</v>
      </c>
      <c r="AL18" s="37">
        <f t="shared" si="2"/>
        <v>1</v>
      </c>
      <c r="AM18" s="37" t="str">
        <f t="shared" si="3"/>
        <v xml:space="preserve"> </v>
      </c>
      <c r="AO18" s="52" t="s">
        <v>279</v>
      </c>
    </row>
    <row r="19" spans="1:41" ht="21.9" customHeight="1" thickTop="1" x14ac:dyDescent="0.3">
      <c r="A19" s="14">
        <v>9</v>
      </c>
      <c r="B19" s="34" t="s">
        <v>98</v>
      </c>
      <c r="C19" s="14"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f t="shared" si="0"/>
        <v>20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f t="shared" si="1"/>
        <v>5</v>
      </c>
      <c r="AD19" s="14">
        <v>2</v>
      </c>
      <c r="AE19" s="14">
        <v>2</v>
      </c>
      <c r="AF19" s="14">
        <v>2</v>
      </c>
      <c r="AG19" s="14">
        <v>2</v>
      </c>
      <c r="AH19" s="14">
        <v>2</v>
      </c>
      <c r="AI19" s="14">
        <f t="shared" si="4"/>
        <v>10</v>
      </c>
      <c r="AJ19" s="14">
        <f t="shared" si="5"/>
        <v>35</v>
      </c>
      <c r="AK19" s="46">
        <f t="shared" si="6"/>
        <v>100</v>
      </c>
      <c r="AL19" s="37">
        <f t="shared" si="2"/>
        <v>1</v>
      </c>
      <c r="AM19" s="37" t="str">
        <f t="shared" si="3"/>
        <v xml:space="preserve"> </v>
      </c>
    </row>
    <row r="20" spans="1:41" ht="21.9" customHeight="1" x14ac:dyDescent="0.3">
      <c r="A20" s="14">
        <v>10</v>
      </c>
      <c r="B20" s="34" t="s">
        <v>52</v>
      </c>
      <c r="C20" s="14">
        <v>1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f t="shared" si="0"/>
        <v>20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f t="shared" si="1"/>
        <v>5</v>
      </c>
      <c r="AD20" s="14">
        <v>2</v>
      </c>
      <c r="AE20" s="14">
        <v>2</v>
      </c>
      <c r="AF20" s="14">
        <v>2</v>
      </c>
      <c r="AG20" s="14">
        <v>2</v>
      </c>
      <c r="AH20" s="14">
        <v>2</v>
      </c>
      <c r="AI20" s="14">
        <f t="shared" si="4"/>
        <v>10</v>
      </c>
      <c r="AJ20" s="14">
        <f t="shared" si="5"/>
        <v>35</v>
      </c>
      <c r="AK20" s="46">
        <f t="shared" si="6"/>
        <v>100</v>
      </c>
      <c r="AL20" s="37">
        <f t="shared" si="2"/>
        <v>1</v>
      </c>
      <c r="AM20" s="37" t="str">
        <f t="shared" si="3"/>
        <v xml:space="preserve"> </v>
      </c>
    </row>
    <row r="21" spans="1:41" ht="21.9" customHeight="1" x14ac:dyDescent="0.3">
      <c r="A21" s="14">
        <v>11</v>
      </c>
      <c r="B21" s="34" t="s">
        <v>100</v>
      </c>
      <c r="C21" s="14">
        <v>1</v>
      </c>
      <c r="D21" s="14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f t="shared" si="0"/>
        <v>20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f t="shared" si="1"/>
        <v>5</v>
      </c>
      <c r="AD21" s="14">
        <v>2</v>
      </c>
      <c r="AE21" s="14">
        <v>2</v>
      </c>
      <c r="AF21" s="14">
        <v>2</v>
      </c>
      <c r="AG21" s="14">
        <v>2</v>
      </c>
      <c r="AH21" s="14">
        <v>2</v>
      </c>
      <c r="AI21" s="14">
        <f t="shared" si="4"/>
        <v>10</v>
      </c>
      <c r="AJ21" s="14">
        <f t="shared" si="5"/>
        <v>35</v>
      </c>
      <c r="AK21" s="46">
        <f t="shared" si="6"/>
        <v>100</v>
      </c>
      <c r="AL21" s="37">
        <f t="shared" si="2"/>
        <v>1</v>
      </c>
      <c r="AM21" s="37" t="str">
        <f t="shared" si="3"/>
        <v xml:space="preserve"> </v>
      </c>
    </row>
    <row r="22" spans="1:41" ht="21.9" customHeight="1" x14ac:dyDescent="0.3">
      <c r="A22" s="14">
        <v>12</v>
      </c>
      <c r="B22" s="34" t="s">
        <v>56</v>
      </c>
      <c r="C22" s="14">
        <v>1</v>
      </c>
      <c r="D22" s="14">
        <v>1</v>
      </c>
      <c r="E22" s="14">
        <v>1</v>
      </c>
      <c r="F22" s="14">
        <v>1</v>
      </c>
      <c r="G22" s="14">
        <v>1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f t="shared" si="0"/>
        <v>20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f t="shared" si="1"/>
        <v>5</v>
      </c>
      <c r="AD22" s="14">
        <v>2</v>
      </c>
      <c r="AE22" s="14">
        <v>2</v>
      </c>
      <c r="AF22" s="14">
        <v>2</v>
      </c>
      <c r="AG22" s="14">
        <v>2</v>
      </c>
      <c r="AH22" s="14">
        <v>2</v>
      </c>
      <c r="AI22" s="14">
        <f t="shared" si="4"/>
        <v>10</v>
      </c>
      <c r="AJ22" s="14">
        <f t="shared" si="5"/>
        <v>35</v>
      </c>
      <c r="AK22" s="46">
        <f t="shared" si="6"/>
        <v>100</v>
      </c>
      <c r="AL22" s="37">
        <f t="shared" si="2"/>
        <v>1</v>
      </c>
      <c r="AM22" s="37" t="str">
        <f t="shared" si="3"/>
        <v xml:space="preserve"> </v>
      </c>
    </row>
    <row r="23" spans="1:41" ht="21.9" customHeight="1" x14ac:dyDescent="0.3">
      <c r="A23" s="14">
        <v>13</v>
      </c>
      <c r="B23" s="34" t="s">
        <v>57</v>
      </c>
      <c r="C23" s="14">
        <v>1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f t="shared" si="0"/>
        <v>20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f t="shared" si="1"/>
        <v>5</v>
      </c>
      <c r="AD23" s="14">
        <v>2</v>
      </c>
      <c r="AE23" s="14">
        <v>2</v>
      </c>
      <c r="AF23" s="14">
        <v>2</v>
      </c>
      <c r="AG23" s="14">
        <v>2</v>
      </c>
      <c r="AH23" s="14">
        <v>2</v>
      </c>
      <c r="AI23" s="14">
        <f t="shared" si="4"/>
        <v>10</v>
      </c>
      <c r="AJ23" s="14">
        <f t="shared" si="5"/>
        <v>35</v>
      </c>
      <c r="AK23" s="46">
        <f t="shared" si="6"/>
        <v>100</v>
      </c>
      <c r="AL23" s="37">
        <f t="shared" si="2"/>
        <v>1</v>
      </c>
      <c r="AM23" s="37" t="str">
        <f t="shared" si="3"/>
        <v xml:space="preserve"> </v>
      </c>
    </row>
    <row r="24" spans="1:41" ht="21.9" customHeight="1" x14ac:dyDescent="0.3">
      <c r="A24" s="14">
        <v>14</v>
      </c>
      <c r="B24" s="34" t="s">
        <v>78</v>
      </c>
      <c r="C24" s="14">
        <v>1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f t="shared" si="0"/>
        <v>20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f t="shared" si="1"/>
        <v>5</v>
      </c>
      <c r="AD24" s="14">
        <v>2</v>
      </c>
      <c r="AE24" s="14">
        <v>2</v>
      </c>
      <c r="AF24" s="14">
        <v>2</v>
      </c>
      <c r="AG24" s="14">
        <v>2</v>
      </c>
      <c r="AH24" s="14">
        <v>2</v>
      </c>
      <c r="AI24" s="14">
        <f t="shared" si="4"/>
        <v>10</v>
      </c>
      <c r="AJ24" s="14">
        <f t="shared" si="5"/>
        <v>35</v>
      </c>
      <c r="AK24" s="46">
        <f t="shared" si="6"/>
        <v>100</v>
      </c>
      <c r="AL24" s="37">
        <f t="shared" si="2"/>
        <v>1</v>
      </c>
      <c r="AM24" s="37" t="str">
        <f t="shared" si="3"/>
        <v xml:space="preserve"> </v>
      </c>
    </row>
    <row r="25" spans="1:41" ht="21.9" customHeight="1" x14ac:dyDescent="0.3">
      <c r="A25" s="14">
        <v>15</v>
      </c>
      <c r="B25" s="34" t="s">
        <v>82</v>
      </c>
      <c r="C25" s="14">
        <v>1</v>
      </c>
      <c r="D25" s="14">
        <v>1</v>
      </c>
      <c r="E25" s="14">
        <v>1</v>
      </c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f t="shared" si="0"/>
        <v>20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f t="shared" si="1"/>
        <v>5</v>
      </c>
      <c r="AD25" s="14">
        <v>2</v>
      </c>
      <c r="AE25" s="14">
        <v>2</v>
      </c>
      <c r="AF25" s="14">
        <v>2</v>
      </c>
      <c r="AG25" s="14">
        <v>2</v>
      </c>
      <c r="AH25" s="14">
        <v>2</v>
      </c>
      <c r="AI25" s="14">
        <f t="shared" si="4"/>
        <v>10</v>
      </c>
      <c r="AJ25" s="14">
        <f t="shared" si="5"/>
        <v>35</v>
      </c>
      <c r="AK25" s="46">
        <f t="shared" si="6"/>
        <v>100</v>
      </c>
      <c r="AL25" s="37">
        <f t="shared" si="2"/>
        <v>1</v>
      </c>
      <c r="AM25" s="37" t="str">
        <f t="shared" si="3"/>
        <v xml:space="preserve"> </v>
      </c>
    </row>
    <row r="26" spans="1:41" ht="21.9" customHeight="1" x14ac:dyDescent="0.3">
      <c r="A26" s="14">
        <v>16</v>
      </c>
      <c r="B26" s="34" t="s">
        <v>83</v>
      </c>
      <c r="C26" s="14">
        <v>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f t="shared" si="0"/>
        <v>20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f t="shared" si="1"/>
        <v>5</v>
      </c>
      <c r="AD26" s="14">
        <v>2</v>
      </c>
      <c r="AE26" s="14">
        <v>2</v>
      </c>
      <c r="AF26" s="14">
        <v>2</v>
      </c>
      <c r="AG26" s="14">
        <v>2</v>
      </c>
      <c r="AH26" s="14">
        <v>2</v>
      </c>
      <c r="AI26" s="14">
        <f t="shared" si="4"/>
        <v>10</v>
      </c>
      <c r="AJ26" s="14">
        <f t="shared" si="5"/>
        <v>35</v>
      </c>
      <c r="AK26" s="46">
        <f t="shared" si="6"/>
        <v>100</v>
      </c>
      <c r="AL26" s="37">
        <f t="shared" si="2"/>
        <v>1</v>
      </c>
      <c r="AM26" s="37" t="str">
        <f t="shared" si="3"/>
        <v xml:space="preserve"> </v>
      </c>
    </row>
    <row r="27" spans="1:41" ht="21.9" customHeight="1" x14ac:dyDescent="0.3">
      <c r="A27" s="14">
        <v>17</v>
      </c>
      <c r="B27" s="47" t="s">
        <v>270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f t="shared" si="0"/>
        <v>20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f t="shared" si="1"/>
        <v>5</v>
      </c>
      <c r="AD27" s="14">
        <v>2</v>
      </c>
      <c r="AE27" s="14">
        <v>2</v>
      </c>
      <c r="AF27" s="14">
        <v>2</v>
      </c>
      <c r="AG27" s="14">
        <v>2</v>
      </c>
      <c r="AH27" s="14">
        <v>2</v>
      </c>
      <c r="AI27" s="14">
        <f t="shared" si="4"/>
        <v>10</v>
      </c>
      <c r="AJ27" s="14">
        <f t="shared" si="5"/>
        <v>35</v>
      </c>
      <c r="AK27" s="46">
        <f t="shared" si="6"/>
        <v>100</v>
      </c>
      <c r="AL27" s="37">
        <f t="shared" si="2"/>
        <v>1</v>
      </c>
      <c r="AM27" s="37" t="str">
        <f t="shared" si="3"/>
        <v xml:space="preserve"> </v>
      </c>
    </row>
    <row r="28" spans="1:41" ht="21.9" customHeight="1" x14ac:dyDescent="0.3">
      <c r="A28" s="14">
        <v>18</v>
      </c>
      <c r="B28" s="34" t="s">
        <v>85</v>
      </c>
      <c r="C28" s="14">
        <v>1</v>
      </c>
      <c r="D28" s="14">
        <v>1</v>
      </c>
      <c r="E28" s="14">
        <v>1</v>
      </c>
      <c r="F28" s="14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f t="shared" si="0"/>
        <v>20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f t="shared" si="1"/>
        <v>5</v>
      </c>
      <c r="AD28" s="14">
        <v>2</v>
      </c>
      <c r="AE28" s="14">
        <v>2</v>
      </c>
      <c r="AF28" s="14">
        <v>2</v>
      </c>
      <c r="AG28" s="14">
        <v>2</v>
      </c>
      <c r="AH28" s="14">
        <v>2</v>
      </c>
      <c r="AI28" s="14">
        <f t="shared" si="4"/>
        <v>10</v>
      </c>
      <c r="AJ28" s="14">
        <f t="shared" si="5"/>
        <v>35</v>
      </c>
      <c r="AK28" s="46">
        <f t="shared" si="6"/>
        <v>100</v>
      </c>
      <c r="AL28" s="37">
        <f t="shared" si="2"/>
        <v>1</v>
      </c>
      <c r="AM28" s="37" t="str">
        <f t="shared" si="3"/>
        <v xml:space="preserve"> </v>
      </c>
    </row>
    <row r="29" spans="1:41" ht="21.9" customHeight="1" x14ac:dyDescent="0.3">
      <c r="A29" s="14">
        <v>19</v>
      </c>
      <c r="B29" s="34" t="s">
        <v>62</v>
      </c>
      <c r="C29" s="14">
        <v>1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f t="shared" si="0"/>
        <v>20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f t="shared" si="1"/>
        <v>5</v>
      </c>
      <c r="AD29" s="14">
        <v>2</v>
      </c>
      <c r="AE29" s="14">
        <v>2</v>
      </c>
      <c r="AF29" s="14">
        <v>2</v>
      </c>
      <c r="AG29" s="14">
        <v>2</v>
      </c>
      <c r="AH29" s="14">
        <v>2</v>
      </c>
      <c r="AI29" s="14">
        <f t="shared" si="4"/>
        <v>10</v>
      </c>
      <c r="AJ29" s="14">
        <f t="shared" si="5"/>
        <v>35</v>
      </c>
      <c r="AK29" s="46">
        <f t="shared" si="6"/>
        <v>100</v>
      </c>
      <c r="AL29" s="37">
        <f t="shared" si="2"/>
        <v>1</v>
      </c>
      <c r="AM29" s="37" t="str">
        <f t="shared" si="3"/>
        <v xml:space="preserve"> </v>
      </c>
    </row>
    <row r="30" spans="1:41" ht="21.9" customHeight="1" x14ac:dyDescent="0.3">
      <c r="A30" s="14">
        <v>20</v>
      </c>
      <c r="B30" s="34" t="s">
        <v>107</v>
      </c>
      <c r="C30" s="14">
        <v>1</v>
      </c>
      <c r="D30" s="14">
        <v>1</v>
      </c>
      <c r="E30" s="14">
        <v>1</v>
      </c>
      <c r="F30" s="14">
        <v>1</v>
      </c>
      <c r="G30" s="14">
        <v>1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f t="shared" si="0"/>
        <v>20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f t="shared" si="1"/>
        <v>5</v>
      </c>
      <c r="AD30" s="14">
        <v>2</v>
      </c>
      <c r="AE30" s="14">
        <v>2</v>
      </c>
      <c r="AF30" s="14">
        <v>2</v>
      </c>
      <c r="AG30" s="14">
        <v>2</v>
      </c>
      <c r="AH30" s="14">
        <v>2</v>
      </c>
      <c r="AI30" s="14">
        <f t="shared" si="4"/>
        <v>10</v>
      </c>
      <c r="AJ30" s="14">
        <f t="shared" si="5"/>
        <v>35</v>
      </c>
      <c r="AK30" s="46">
        <f t="shared" si="6"/>
        <v>100</v>
      </c>
      <c r="AL30" s="37">
        <f t="shared" si="2"/>
        <v>1</v>
      </c>
      <c r="AM30" s="37" t="str">
        <f t="shared" si="3"/>
        <v xml:space="preserve"> </v>
      </c>
    </row>
    <row r="31" spans="1:41" ht="21.9" customHeight="1" x14ac:dyDescent="0.3">
      <c r="A31" s="14">
        <v>21</v>
      </c>
      <c r="B31" s="34" t="s">
        <v>87</v>
      </c>
      <c r="C31" s="14">
        <v>1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f t="shared" si="0"/>
        <v>20</v>
      </c>
      <c r="X31" s="14">
        <v>1</v>
      </c>
      <c r="Y31" s="14">
        <v>1</v>
      </c>
      <c r="Z31" s="14">
        <v>1</v>
      </c>
      <c r="AA31" s="14">
        <v>1</v>
      </c>
      <c r="AB31" s="14">
        <v>1</v>
      </c>
      <c r="AC31" s="14">
        <f t="shared" si="1"/>
        <v>5</v>
      </c>
      <c r="AD31" s="14">
        <v>2</v>
      </c>
      <c r="AE31" s="14">
        <v>2</v>
      </c>
      <c r="AF31" s="14">
        <v>2</v>
      </c>
      <c r="AG31" s="14">
        <v>2</v>
      </c>
      <c r="AH31" s="14">
        <v>2</v>
      </c>
      <c r="AI31" s="14">
        <f t="shared" si="4"/>
        <v>10</v>
      </c>
      <c r="AJ31" s="14">
        <f t="shared" si="5"/>
        <v>35</v>
      </c>
      <c r="AK31" s="46">
        <f t="shared" si="6"/>
        <v>100</v>
      </c>
      <c r="AL31" s="37">
        <f t="shared" si="2"/>
        <v>1</v>
      </c>
      <c r="AM31" s="37" t="str">
        <f t="shared" si="3"/>
        <v xml:space="preserve"> </v>
      </c>
    </row>
    <row r="32" spans="1:41" ht="21.9" customHeight="1" x14ac:dyDescent="0.3">
      <c r="A32" s="14">
        <v>22</v>
      </c>
      <c r="B32" s="34" t="s">
        <v>88</v>
      </c>
      <c r="C32" s="14">
        <v>1</v>
      </c>
      <c r="D32" s="14">
        <v>1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f t="shared" si="0"/>
        <v>20</v>
      </c>
      <c r="X32" s="14">
        <v>1</v>
      </c>
      <c r="Y32" s="14">
        <v>1</v>
      </c>
      <c r="Z32" s="14">
        <v>1</v>
      </c>
      <c r="AA32" s="14">
        <v>1</v>
      </c>
      <c r="AB32" s="14">
        <v>1</v>
      </c>
      <c r="AC32" s="14">
        <f t="shared" si="1"/>
        <v>5</v>
      </c>
      <c r="AD32" s="14">
        <v>2</v>
      </c>
      <c r="AE32" s="14">
        <v>2</v>
      </c>
      <c r="AF32" s="14">
        <v>2</v>
      </c>
      <c r="AG32" s="14">
        <v>2</v>
      </c>
      <c r="AH32" s="14">
        <v>2</v>
      </c>
      <c r="AI32" s="14">
        <f t="shared" si="4"/>
        <v>10</v>
      </c>
      <c r="AJ32" s="14">
        <f t="shared" si="5"/>
        <v>35</v>
      </c>
      <c r="AK32" s="46">
        <f t="shared" si="6"/>
        <v>100</v>
      </c>
      <c r="AL32" s="37">
        <f t="shared" si="2"/>
        <v>1</v>
      </c>
      <c r="AM32" s="37" t="str">
        <f t="shared" si="3"/>
        <v xml:space="preserve"> </v>
      </c>
    </row>
    <row r="33" spans="1:39" ht="21.9" customHeight="1" x14ac:dyDescent="0.3">
      <c r="A33" s="14">
        <v>23</v>
      </c>
      <c r="B33" s="34" t="s">
        <v>64</v>
      </c>
      <c r="C33" s="14">
        <v>1</v>
      </c>
      <c r="D33" s="14">
        <v>1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f t="shared" si="0"/>
        <v>20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f t="shared" si="1"/>
        <v>5</v>
      </c>
      <c r="AD33" s="14">
        <v>2</v>
      </c>
      <c r="AE33" s="14">
        <v>2</v>
      </c>
      <c r="AF33" s="14">
        <v>2</v>
      </c>
      <c r="AG33" s="14">
        <v>2</v>
      </c>
      <c r="AH33" s="14">
        <v>2</v>
      </c>
      <c r="AI33" s="14">
        <f t="shared" si="4"/>
        <v>10</v>
      </c>
      <c r="AJ33" s="14">
        <f t="shared" si="5"/>
        <v>35</v>
      </c>
      <c r="AK33" s="46">
        <f t="shared" si="6"/>
        <v>100</v>
      </c>
      <c r="AL33" s="37">
        <f t="shared" si="2"/>
        <v>1</v>
      </c>
      <c r="AM33" s="37" t="str">
        <f t="shared" si="3"/>
        <v xml:space="preserve"> </v>
      </c>
    </row>
    <row r="34" spans="1:39" ht="21.9" customHeight="1" x14ac:dyDescent="0.3">
      <c r="A34" s="14">
        <v>24</v>
      </c>
      <c r="B34" s="34" t="s">
        <v>91</v>
      </c>
      <c r="C34" s="14">
        <v>1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>
        <v>1</v>
      </c>
      <c r="K34" s="14">
        <v>1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f t="shared" si="0"/>
        <v>20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f t="shared" si="1"/>
        <v>5</v>
      </c>
      <c r="AD34" s="14">
        <v>2</v>
      </c>
      <c r="AE34" s="14">
        <v>2</v>
      </c>
      <c r="AF34" s="14">
        <v>2</v>
      </c>
      <c r="AG34" s="14">
        <v>2</v>
      </c>
      <c r="AH34" s="14">
        <v>2</v>
      </c>
      <c r="AI34" s="14">
        <f t="shared" si="4"/>
        <v>10</v>
      </c>
      <c r="AJ34" s="14">
        <f t="shared" si="5"/>
        <v>35</v>
      </c>
      <c r="AK34" s="46">
        <f t="shared" si="6"/>
        <v>100</v>
      </c>
      <c r="AL34" s="37">
        <f t="shared" si="2"/>
        <v>1</v>
      </c>
      <c r="AM34" s="37" t="str">
        <f t="shared" si="3"/>
        <v xml:space="preserve"> </v>
      </c>
    </row>
    <row r="35" spans="1:39" ht="21.9" customHeight="1" x14ac:dyDescent="0.3">
      <c r="A35" s="14">
        <v>25</v>
      </c>
      <c r="B35" s="34" t="s">
        <v>111</v>
      </c>
      <c r="C35" s="14">
        <v>1</v>
      </c>
      <c r="D35" s="1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f t="shared" si="0"/>
        <v>20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f t="shared" si="1"/>
        <v>5</v>
      </c>
      <c r="AD35" s="14">
        <v>2</v>
      </c>
      <c r="AE35" s="14">
        <v>2</v>
      </c>
      <c r="AF35" s="14">
        <v>2</v>
      </c>
      <c r="AG35" s="14">
        <v>2</v>
      </c>
      <c r="AH35" s="14">
        <v>2</v>
      </c>
      <c r="AI35" s="14">
        <f t="shared" si="4"/>
        <v>10</v>
      </c>
      <c r="AJ35" s="14">
        <f t="shared" si="5"/>
        <v>35</v>
      </c>
      <c r="AK35" s="46">
        <f t="shared" si="6"/>
        <v>100</v>
      </c>
      <c r="AL35" s="37"/>
      <c r="AM35" s="37" t="str">
        <f t="shared" si="3"/>
        <v xml:space="preserve"> </v>
      </c>
    </row>
    <row r="36" spans="1:39" ht="21.9" customHeight="1" x14ac:dyDescent="0.3">
      <c r="A36" s="14">
        <v>26</v>
      </c>
      <c r="B36" s="34" t="s">
        <v>117</v>
      </c>
      <c r="C36" s="14">
        <v>1</v>
      </c>
      <c r="D36" s="14">
        <v>1</v>
      </c>
      <c r="E36" s="14">
        <v>1</v>
      </c>
      <c r="F36" s="14">
        <v>1</v>
      </c>
      <c r="G36" s="14">
        <v>1</v>
      </c>
      <c r="H36" s="14">
        <v>1</v>
      </c>
      <c r="I36" s="14">
        <v>1</v>
      </c>
      <c r="J36" s="14">
        <v>1</v>
      </c>
      <c r="K36" s="14">
        <v>1</v>
      </c>
      <c r="L36" s="14">
        <v>1</v>
      </c>
      <c r="M36" s="14">
        <v>1</v>
      </c>
      <c r="N36" s="14">
        <v>1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f t="shared" si="0"/>
        <v>20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f t="shared" si="1"/>
        <v>5</v>
      </c>
      <c r="AD36" s="14">
        <v>2</v>
      </c>
      <c r="AE36" s="14">
        <v>2</v>
      </c>
      <c r="AF36" s="14">
        <v>2</v>
      </c>
      <c r="AG36" s="14">
        <v>2</v>
      </c>
      <c r="AH36" s="14">
        <v>2</v>
      </c>
      <c r="AI36" s="14">
        <f t="shared" si="4"/>
        <v>10</v>
      </c>
      <c r="AJ36" s="14">
        <f t="shared" si="5"/>
        <v>35</v>
      </c>
      <c r="AK36" s="46">
        <f t="shared" si="6"/>
        <v>100</v>
      </c>
      <c r="AL36" s="37">
        <f t="shared" si="2"/>
        <v>1</v>
      </c>
      <c r="AM36" s="37" t="str">
        <f t="shared" si="3"/>
        <v xml:space="preserve"> </v>
      </c>
    </row>
    <row r="37" spans="1:39" ht="20.100000000000001" customHeight="1" x14ac:dyDescent="0.3">
      <c r="A37" s="16" t="s">
        <v>36</v>
      </c>
      <c r="B37" s="17"/>
      <c r="C37" s="31">
        <f t="shared" ref="C37:V37" si="7">SUM(C11:C36)</f>
        <v>26</v>
      </c>
      <c r="D37" s="31">
        <f t="shared" si="7"/>
        <v>26</v>
      </c>
      <c r="E37" s="31">
        <f t="shared" si="7"/>
        <v>26</v>
      </c>
      <c r="F37" s="31">
        <f t="shared" si="7"/>
        <v>26</v>
      </c>
      <c r="G37" s="31">
        <f t="shared" si="7"/>
        <v>26</v>
      </c>
      <c r="H37" s="31">
        <f t="shared" si="7"/>
        <v>26</v>
      </c>
      <c r="I37" s="31">
        <f t="shared" si="7"/>
        <v>26</v>
      </c>
      <c r="J37" s="31">
        <f t="shared" si="7"/>
        <v>26</v>
      </c>
      <c r="K37" s="31">
        <f t="shared" si="7"/>
        <v>26</v>
      </c>
      <c r="L37" s="31">
        <f t="shared" si="7"/>
        <v>26</v>
      </c>
      <c r="M37" s="31">
        <f t="shared" si="7"/>
        <v>26</v>
      </c>
      <c r="N37" s="31">
        <f t="shared" si="7"/>
        <v>26</v>
      </c>
      <c r="O37" s="31">
        <f t="shared" si="7"/>
        <v>26</v>
      </c>
      <c r="P37" s="31">
        <f t="shared" si="7"/>
        <v>26</v>
      </c>
      <c r="Q37" s="31">
        <f t="shared" si="7"/>
        <v>26</v>
      </c>
      <c r="R37" s="31">
        <f t="shared" si="7"/>
        <v>26</v>
      </c>
      <c r="S37" s="31">
        <f t="shared" si="7"/>
        <v>26</v>
      </c>
      <c r="T37" s="31">
        <f t="shared" si="7"/>
        <v>26</v>
      </c>
      <c r="U37" s="31">
        <f t="shared" si="7"/>
        <v>26</v>
      </c>
      <c r="V37" s="31">
        <f t="shared" si="7"/>
        <v>26</v>
      </c>
      <c r="W37" s="65"/>
      <c r="X37" s="31">
        <f>SUM(X11:X36)</f>
        <v>26</v>
      </c>
      <c r="Y37" s="31">
        <f>SUM(Y11:Y36)</f>
        <v>26</v>
      </c>
      <c r="Z37" s="31">
        <f>SUM(Z11:Z36)</f>
        <v>26</v>
      </c>
      <c r="AA37" s="31">
        <f>SUM(AA11:AA36)</f>
        <v>26</v>
      </c>
      <c r="AB37" s="31">
        <f>SUM(AB11:AB36)</f>
        <v>26</v>
      </c>
      <c r="AC37" s="67"/>
      <c r="AD37" s="31">
        <f>SUM(AD11:AD36)</f>
        <v>52</v>
      </c>
      <c r="AE37" s="31">
        <f>SUM(AE11:AE36)</f>
        <v>52</v>
      </c>
      <c r="AF37" s="31">
        <f>SUM(AF11:AF36)</f>
        <v>52</v>
      </c>
      <c r="AG37" s="31">
        <f>SUM(AG11:AG36)</f>
        <v>52</v>
      </c>
      <c r="AH37" s="31">
        <f>SUM(AH11:AH36)</f>
        <v>52</v>
      </c>
      <c r="AI37" s="65"/>
      <c r="AJ37" s="69">
        <f>SUM(AJ11:AJ36)</f>
        <v>910</v>
      </c>
      <c r="AK37" s="69">
        <f>SUM(AK11:AK36)</f>
        <v>2600</v>
      </c>
      <c r="AL37" s="60">
        <f>SUM(AL11:AL36)</f>
        <v>25</v>
      </c>
      <c r="AM37" s="60">
        <f>SUM(AM11:AM36)</f>
        <v>0</v>
      </c>
    </row>
    <row r="38" spans="1:39" ht="20.100000000000001" customHeight="1" x14ac:dyDescent="0.3">
      <c r="A38" s="18" t="s">
        <v>37</v>
      </c>
      <c r="B38" s="17"/>
      <c r="C38" s="33">
        <f>C37*100/26</f>
        <v>100</v>
      </c>
      <c r="D38" s="33">
        <f t="shared" ref="D38:V38" si="8">D37*100/26</f>
        <v>100</v>
      </c>
      <c r="E38" s="33">
        <f t="shared" si="8"/>
        <v>100</v>
      </c>
      <c r="F38" s="33">
        <f t="shared" si="8"/>
        <v>100</v>
      </c>
      <c r="G38" s="33">
        <f t="shared" si="8"/>
        <v>100</v>
      </c>
      <c r="H38" s="33">
        <f t="shared" si="8"/>
        <v>100</v>
      </c>
      <c r="I38" s="33">
        <f t="shared" si="8"/>
        <v>100</v>
      </c>
      <c r="J38" s="33">
        <f t="shared" si="8"/>
        <v>100</v>
      </c>
      <c r="K38" s="33">
        <f t="shared" si="8"/>
        <v>100</v>
      </c>
      <c r="L38" s="33">
        <f t="shared" si="8"/>
        <v>100</v>
      </c>
      <c r="M38" s="33">
        <f t="shared" si="8"/>
        <v>100</v>
      </c>
      <c r="N38" s="33">
        <f t="shared" si="8"/>
        <v>100</v>
      </c>
      <c r="O38" s="33">
        <f t="shared" si="8"/>
        <v>100</v>
      </c>
      <c r="P38" s="33">
        <f t="shared" si="8"/>
        <v>100</v>
      </c>
      <c r="Q38" s="33">
        <f t="shared" si="8"/>
        <v>100</v>
      </c>
      <c r="R38" s="33">
        <f t="shared" si="8"/>
        <v>100</v>
      </c>
      <c r="S38" s="33">
        <f t="shared" si="8"/>
        <v>100</v>
      </c>
      <c r="T38" s="33">
        <f t="shared" si="8"/>
        <v>100</v>
      </c>
      <c r="U38" s="33">
        <f t="shared" si="8"/>
        <v>100</v>
      </c>
      <c r="V38" s="33">
        <f t="shared" si="8"/>
        <v>100</v>
      </c>
      <c r="W38" s="66"/>
      <c r="X38" s="33">
        <f>X37*100/26</f>
        <v>100</v>
      </c>
      <c r="Y38" s="33">
        <f t="shared" ref="Y38:AB38" si="9">Y37*100/26</f>
        <v>100</v>
      </c>
      <c r="Z38" s="33">
        <f t="shared" si="9"/>
        <v>100</v>
      </c>
      <c r="AA38" s="33">
        <f t="shared" si="9"/>
        <v>100</v>
      </c>
      <c r="AB38" s="33">
        <f t="shared" si="9"/>
        <v>100</v>
      </c>
      <c r="AC38" s="68"/>
      <c r="AD38" s="33">
        <f>AD37*100/26</f>
        <v>200</v>
      </c>
      <c r="AE38" s="33">
        <f t="shared" ref="AE38:AH38" si="10">AE37*100/26</f>
        <v>200</v>
      </c>
      <c r="AF38" s="33">
        <f t="shared" si="10"/>
        <v>200</v>
      </c>
      <c r="AG38" s="33">
        <f t="shared" si="10"/>
        <v>200</v>
      </c>
      <c r="AH38" s="33">
        <f t="shared" si="10"/>
        <v>200</v>
      </c>
      <c r="AI38" s="66"/>
      <c r="AJ38" s="70"/>
      <c r="AK38" s="70"/>
      <c r="AL38" s="61"/>
      <c r="AM38" s="61"/>
    </row>
    <row r="40" spans="1:39" ht="20.100000000000001" customHeight="1" x14ac:dyDescent="0.3">
      <c r="A40" s="20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3"/>
      <c r="AK40" s="23"/>
      <c r="AL40" s="24"/>
    </row>
    <row r="41" spans="1:39" ht="20.100000000000001" customHeight="1" x14ac:dyDescent="0.3">
      <c r="A41" s="25"/>
      <c r="B41" s="26"/>
      <c r="C41" s="39" t="s">
        <v>38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 t="s">
        <v>215</v>
      </c>
      <c r="AF41" s="26"/>
      <c r="AG41" s="26"/>
      <c r="AH41" s="26"/>
      <c r="AI41" s="26"/>
      <c r="AJ41" s="26"/>
      <c r="AK41" s="26"/>
      <c r="AL41" s="25"/>
    </row>
    <row r="42" spans="1:39" ht="20.100000000000001" customHeight="1" x14ac:dyDescent="0.3">
      <c r="A42" s="25"/>
      <c r="B42" s="26"/>
      <c r="C42" s="26" t="s">
        <v>39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45"/>
      <c r="X42" s="45"/>
      <c r="Y42" s="45"/>
      <c r="Z42" s="45"/>
      <c r="AA42" s="45"/>
      <c r="AB42" s="45"/>
      <c r="AC42" s="45"/>
      <c r="AD42" s="26"/>
      <c r="AE42" s="26" t="s">
        <v>214</v>
      </c>
      <c r="AF42" s="26"/>
      <c r="AG42" s="26"/>
      <c r="AH42" s="26"/>
      <c r="AI42" s="26"/>
      <c r="AJ42" s="26"/>
      <c r="AK42" s="26"/>
      <c r="AL42" s="25"/>
    </row>
    <row r="43" spans="1:39" ht="20.100000000000001" customHeight="1" x14ac:dyDescent="0.3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45"/>
      <c r="AD43" s="45"/>
      <c r="AE43" s="45"/>
      <c r="AF43" s="26"/>
      <c r="AG43" s="26"/>
      <c r="AH43" s="26"/>
      <c r="AI43" s="26"/>
      <c r="AJ43" s="26"/>
      <c r="AK43" s="26"/>
      <c r="AL43" s="25"/>
    </row>
    <row r="44" spans="1:39" ht="20.100000000000001" customHeight="1" x14ac:dyDescent="0.3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5"/>
    </row>
    <row r="45" spans="1:39" ht="20.100000000000001" customHeight="1" x14ac:dyDescent="0.3">
      <c r="A45" s="25"/>
      <c r="B45" s="26"/>
      <c r="C45" s="28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5"/>
    </row>
    <row r="46" spans="1:39" ht="20.100000000000001" customHeight="1" x14ac:dyDescent="0.3">
      <c r="A46" s="25"/>
      <c r="B46" s="26"/>
      <c r="C46" s="28" t="s">
        <v>40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9"/>
      <c r="X46" s="29"/>
      <c r="Y46" s="29"/>
      <c r="Z46" s="29"/>
      <c r="AA46" s="29"/>
      <c r="AB46" s="29"/>
      <c r="AC46" s="26"/>
      <c r="AD46" s="39"/>
      <c r="AE46" s="29" t="s">
        <v>68</v>
      </c>
      <c r="AF46" s="26"/>
      <c r="AG46" s="26"/>
      <c r="AH46" s="26"/>
      <c r="AI46" s="26"/>
      <c r="AJ46" s="26"/>
      <c r="AK46" s="26"/>
      <c r="AL46" s="25"/>
    </row>
  </sheetData>
  <mergeCells count="17">
    <mergeCell ref="A1:AM1"/>
    <mergeCell ref="A2:AM2"/>
    <mergeCell ref="A8:A9"/>
    <mergeCell ref="B8:B9"/>
    <mergeCell ref="C8:V8"/>
    <mergeCell ref="X8:AB8"/>
    <mergeCell ref="AD8:AH8"/>
    <mergeCell ref="AK8:AK9"/>
    <mergeCell ref="AL8:AM8"/>
    <mergeCell ref="AL37:AL38"/>
    <mergeCell ref="AM37:AM38"/>
    <mergeCell ref="AO13:AO14"/>
    <mergeCell ref="W37:W38"/>
    <mergeCell ref="AC37:AC38"/>
    <mergeCell ref="AI37:AI38"/>
    <mergeCell ref="AJ37:AJ38"/>
    <mergeCell ref="AK37:AK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C2F5-DBB4-4D3E-ACFC-380AB0B2C6E2}">
  <dimension ref="A1:AO45"/>
  <sheetViews>
    <sheetView zoomScale="55" zoomScaleNormal="55" workbookViewId="0">
      <selection activeCell="AD11" sqref="AD11:AH35"/>
    </sheetView>
  </sheetViews>
  <sheetFormatPr defaultColWidth="9.109375" defaultRowHeight="13.8" x14ac:dyDescent="0.3"/>
  <cols>
    <col min="1" max="1" width="4.44140625" style="1" customWidth="1"/>
    <col min="2" max="2" width="38.5546875" style="1" customWidth="1"/>
    <col min="3" max="3" width="4.6640625" style="1" customWidth="1"/>
    <col min="4" max="22" width="3.6640625" style="1" customWidth="1"/>
    <col min="23" max="23" width="9.109375" style="13"/>
    <col min="24" max="28" width="4.6640625" style="1" customWidth="1"/>
    <col min="29" max="29" width="9.109375" style="13"/>
    <col min="30" max="34" width="4.6640625" style="1" customWidth="1"/>
    <col min="35" max="36" width="9.109375" style="1"/>
    <col min="37" max="37" width="11.21875" style="1" customWidth="1"/>
    <col min="38" max="40" width="9.109375" style="1"/>
    <col min="41" max="41" width="87.5546875" style="1" bestFit="1" customWidth="1"/>
    <col min="42" max="16384" width="9.109375" style="1"/>
  </cols>
  <sheetData>
    <row r="1" spans="1:41" ht="20.100000000000001" customHeight="1" x14ac:dyDescent="0.3">
      <c r="A1" s="54" t="s">
        <v>212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41" ht="20.100000000000001" customHeight="1" x14ac:dyDescent="0.3">
      <c r="A2" s="55" t="s">
        <v>213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1" ht="20.100000000000001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  <c r="X3" s="10"/>
      <c r="Y3" s="10"/>
      <c r="Z3" s="10"/>
      <c r="AA3" s="10"/>
      <c r="AB3" s="10"/>
      <c r="AC3" s="19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ht="20.100000000000001" customHeight="1" x14ac:dyDescent="0.3">
      <c r="A4" s="2"/>
      <c r="B4" s="9" t="s">
        <v>0</v>
      </c>
      <c r="C4" s="2"/>
      <c r="D4" s="9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  <c r="X4" s="10"/>
      <c r="Y4" s="10"/>
      <c r="Z4" s="10"/>
      <c r="AA4" s="10"/>
      <c r="AB4" s="10"/>
      <c r="AC4" s="19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20.100000000000001" customHeight="1" x14ac:dyDescent="0.3">
      <c r="A5" s="2"/>
      <c r="B5" s="9" t="s">
        <v>2</v>
      </c>
      <c r="C5" s="2"/>
      <c r="D5" s="11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  <c r="X5" s="10"/>
      <c r="Y5" s="10"/>
      <c r="Z5" s="10"/>
      <c r="AA5" s="10"/>
      <c r="AB5" s="10"/>
      <c r="AC5" s="19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1" ht="20.100000000000001" customHeight="1" x14ac:dyDescent="0.3">
      <c r="A6" s="2"/>
      <c r="B6" s="9" t="s">
        <v>3</v>
      </c>
      <c r="C6" s="2"/>
      <c r="D6" s="11" t="s">
        <v>271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  <c r="X6" s="10"/>
      <c r="Y6" s="10"/>
      <c r="Z6" s="10"/>
      <c r="AA6" s="10"/>
      <c r="AB6" s="10"/>
      <c r="AC6" s="19"/>
      <c r="AD6" s="2"/>
      <c r="AE6" s="2"/>
      <c r="AF6" s="2"/>
      <c r="AG6" s="2"/>
      <c r="AH6" s="2"/>
      <c r="AI6" s="2"/>
      <c r="AJ6" s="2"/>
      <c r="AK6" s="2"/>
      <c r="AL6" s="2"/>
      <c r="AM6" s="2"/>
    </row>
    <row r="8" spans="1:41" ht="30" customHeight="1" x14ac:dyDescent="0.3">
      <c r="A8" s="60" t="s">
        <v>4</v>
      </c>
      <c r="B8" s="60" t="s">
        <v>5</v>
      </c>
      <c r="C8" s="62" t="s">
        <v>6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40" t="s">
        <v>7</v>
      </c>
      <c r="X8" s="62" t="s">
        <v>8</v>
      </c>
      <c r="Y8" s="63"/>
      <c r="Z8" s="63"/>
      <c r="AA8" s="63"/>
      <c r="AB8" s="63"/>
      <c r="AC8" s="40" t="s">
        <v>7</v>
      </c>
      <c r="AD8" s="62" t="s">
        <v>42</v>
      </c>
      <c r="AE8" s="63"/>
      <c r="AF8" s="63"/>
      <c r="AG8" s="63"/>
      <c r="AH8" s="64"/>
      <c r="AI8" s="40" t="s">
        <v>7</v>
      </c>
      <c r="AJ8" s="40" t="s">
        <v>9</v>
      </c>
      <c r="AK8" s="56" t="s">
        <v>10</v>
      </c>
      <c r="AL8" s="58" t="s">
        <v>280</v>
      </c>
      <c r="AM8" s="59"/>
    </row>
    <row r="9" spans="1:41" ht="20.100000000000001" customHeight="1" x14ac:dyDescent="0.3">
      <c r="A9" s="61"/>
      <c r="B9" s="61"/>
      <c r="C9" s="30" t="s">
        <v>11</v>
      </c>
      <c r="D9" s="30" t="s">
        <v>12</v>
      </c>
      <c r="E9" s="30" t="s">
        <v>13</v>
      </c>
      <c r="F9" s="30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30" t="s">
        <v>21</v>
      </c>
      <c r="N9" s="30" t="s">
        <v>22</v>
      </c>
      <c r="O9" s="30" t="s">
        <v>23</v>
      </c>
      <c r="P9" s="30" t="s">
        <v>24</v>
      </c>
      <c r="Q9" s="30" t="s">
        <v>25</v>
      </c>
      <c r="R9" s="30" t="s">
        <v>26</v>
      </c>
      <c r="S9" s="30" t="s">
        <v>27</v>
      </c>
      <c r="T9" s="30" t="s">
        <v>28</v>
      </c>
      <c r="U9" s="30" t="s">
        <v>29</v>
      </c>
      <c r="V9" s="30" t="s">
        <v>30</v>
      </c>
      <c r="W9" s="5" t="s">
        <v>31</v>
      </c>
      <c r="X9" s="6">
        <v>1</v>
      </c>
      <c r="Y9" s="6">
        <v>2</v>
      </c>
      <c r="Z9" s="6">
        <v>3</v>
      </c>
      <c r="AA9" s="6">
        <v>4</v>
      </c>
      <c r="AB9" s="6">
        <v>5</v>
      </c>
      <c r="AC9" s="5" t="s">
        <v>31</v>
      </c>
      <c r="AD9" s="6">
        <v>1</v>
      </c>
      <c r="AE9" s="6">
        <v>2</v>
      </c>
      <c r="AF9" s="6">
        <v>3</v>
      </c>
      <c r="AG9" s="6">
        <v>4</v>
      </c>
      <c r="AH9" s="6">
        <v>5</v>
      </c>
      <c r="AI9" s="5" t="s">
        <v>32</v>
      </c>
      <c r="AJ9" s="38"/>
      <c r="AK9" s="57"/>
      <c r="AL9" s="7" t="s">
        <v>33</v>
      </c>
      <c r="AM9" s="7" t="s">
        <v>34</v>
      </c>
    </row>
    <row r="10" spans="1:41" ht="6.9" customHeight="1" thickBot="1" x14ac:dyDescent="0.35">
      <c r="A10" s="8"/>
      <c r="B10" s="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15"/>
      <c r="X10" s="8"/>
      <c r="Y10" s="8"/>
      <c r="Z10" s="8"/>
      <c r="AA10" s="8"/>
      <c r="AB10" s="8"/>
      <c r="AC10" s="15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41" ht="21.9" customHeight="1" thickTop="1" x14ac:dyDescent="0.3">
      <c r="A11" s="14">
        <v>1</v>
      </c>
      <c r="B11" s="34" t="s">
        <v>45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f t="shared" ref="W11:W35" si="0">SUM(C11:V11)</f>
        <v>20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f>SUM(X11:AB11)</f>
        <v>5</v>
      </c>
      <c r="AD11" s="14">
        <v>2</v>
      </c>
      <c r="AE11" s="14">
        <v>2</v>
      </c>
      <c r="AF11" s="14">
        <v>2</v>
      </c>
      <c r="AG11" s="14">
        <v>2</v>
      </c>
      <c r="AH11" s="14">
        <v>2</v>
      </c>
      <c r="AI11" s="14">
        <f>SUM(AD11:AH11)*1</f>
        <v>10</v>
      </c>
      <c r="AJ11" s="14">
        <f>SUM(W11,AC11,AI11)</f>
        <v>35</v>
      </c>
      <c r="AK11" s="46">
        <f>AJ11*100/35</f>
        <v>100</v>
      </c>
      <c r="AL11" s="37">
        <f>IF(AK11&gt;70,1," ")</f>
        <v>1</v>
      </c>
      <c r="AM11" s="37" t="str">
        <f>IF(AK11&lt;70,1," ")</f>
        <v xml:space="preserve"> </v>
      </c>
      <c r="AO11" s="41" t="s">
        <v>183</v>
      </c>
    </row>
    <row r="12" spans="1:41" ht="21.9" customHeight="1" x14ac:dyDescent="0.3">
      <c r="A12" s="14">
        <v>2</v>
      </c>
      <c r="B12" s="34" t="s">
        <v>180</v>
      </c>
      <c r="C12" s="14">
        <v>1</v>
      </c>
      <c r="D12" s="14">
        <v>1</v>
      </c>
      <c r="E12" s="14">
        <v>1</v>
      </c>
      <c r="F12" s="14">
        <v>1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f t="shared" si="0"/>
        <v>20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f t="shared" ref="AC12:AC34" si="1">SUM(X12:AB12)</f>
        <v>5</v>
      </c>
      <c r="AD12" s="14">
        <v>2</v>
      </c>
      <c r="AE12" s="14">
        <v>2</v>
      </c>
      <c r="AF12" s="14">
        <v>2</v>
      </c>
      <c r="AG12" s="14">
        <v>2</v>
      </c>
      <c r="AH12" s="14">
        <v>2</v>
      </c>
      <c r="AI12" s="14">
        <f>SUM(AD12:AH12)*1</f>
        <v>10</v>
      </c>
      <c r="AJ12" s="14">
        <f>SUM(W12,AC12,AI12)</f>
        <v>35</v>
      </c>
      <c r="AK12" s="46">
        <f>AJ12*100/35</f>
        <v>100</v>
      </c>
      <c r="AL12" s="37">
        <f t="shared" ref="AL12:AL34" si="2">IF(AK12&gt;70,1," ")</f>
        <v>1</v>
      </c>
      <c r="AM12" s="37" t="str">
        <f t="shared" ref="AM12:AM35" si="3">IF(AK12&lt;70,1," ")</f>
        <v xml:space="preserve"> </v>
      </c>
      <c r="AO12" s="42" t="s">
        <v>268</v>
      </c>
    </row>
    <row r="13" spans="1:41" ht="21.9" customHeight="1" x14ac:dyDescent="0.3">
      <c r="A13" s="14">
        <v>3</v>
      </c>
      <c r="B13" s="34" t="s">
        <v>46</v>
      </c>
      <c r="C13" s="14">
        <v>1</v>
      </c>
      <c r="D13" s="1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f t="shared" si="0"/>
        <v>20</v>
      </c>
      <c r="X13" s="14">
        <v>1</v>
      </c>
      <c r="Y13" s="14">
        <v>1</v>
      </c>
      <c r="Z13" s="14">
        <v>1</v>
      </c>
      <c r="AA13" s="14">
        <v>1</v>
      </c>
      <c r="AB13" s="14">
        <v>1</v>
      </c>
      <c r="AC13" s="14">
        <f t="shared" si="1"/>
        <v>5</v>
      </c>
      <c r="AD13" s="14">
        <v>2</v>
      </c>
      <c r="AE13" s="14">
        <v>2</v>
      </c>
      <c r="AF13" s="14">
        <v>2</v>
      </c>
      <c r="AG13" s="14">
        <v>2</v>
      </c>
      <c r="AH13" s="14">
        <v>2</v>
      </c>
      <c r="AI13" s="14">
        <f t="shared" ref="AI13:AI35" si="4">SUM(AD13:AH13)*1</f>
        <v>10</v>
      </c>
      <c r="AJ13" s="14">
        <f>SUM(W13,AC13,AI13)</f>
        <v>35</v>
      </c>
      <c r="AK13" s="46">
        <f t="shared" ref="AK13:AK35" si="5">AJ13*100/35</f>
        <v>100</v>
      </c>
      <c r="AL13" s="37">
        <f t="shared" si="2"/>
        <v>1</v>
      </c>
      <c r="AM13" s="37" t="str">
        <f t="shared" si="3"/>
        <v xml:space="preserve"> </v>
      </c>
      <c r="AO13" s="53" t="s">
        <v>275</v>
      </c>
    </row>
    <row r="14" spans="1:41" ht="21.9" customHeight="1" x14ac:dyDescent="0.3">
      <c r="A14" s="14">
        <v>4</v>
      </c>
      <c r="B14" s="34" t="s">
        <v>73</v>
      </c>
      <c r="C14" s="14">
        <v>1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f t="shared" si="0"/>
        <v>20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f t="shared" si="1"/>
        <v>5</v>
      </c>
      <c r="AD14" s="14">
        <v>2</v>
      </c>
      <c r="AE14" s="14">
        <v>2</v>
      </c>
      <c r="AF14" s="14">
        <v>2</v>
      </c>
      <c r="AG14" s="14">
        <v>2</v>
      </c>
      <c r="AH14" s="14">
        <v>2</v>
      </c>
      <c r="AI14" s="14">
        <f t="shared" si="4"/>
        <v>10</v>
      </c>
      <c r="AJ14" s="14">
        <f t="shared" ref="AJ14:AJ35" si="6">SUM(W14,AC14,AI14)</f>
        <v>35</v>
      </c>
      <c r="AK14" s="46">
        <f t="shared" si="5"/>
        <v>100</v>
      </c>
      <c r="AL14" s="37">
        <f t="shared" si="2"/>
        <v>1</v>
      </c>
      <c r="AM14" s="37" t="str">
        <f t="shared" si="3"/>
        <v xml:space="preserve"> </v>
      </c>
      <c r="AO14" s="53"/>
    </row>
    <row r="15" spans="1:41" ht="21.9" customHeight="1" x14ac:dyDescent="0.3">
      <c r="A15" s="14">
        <v>5</v>
      </c>
      <c r="B15" s="34" t="s">
        <v>48</v>
      </c>
      <c r="C15" s="14">
        <v>1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f t="shared" si="0"/>
        <v>20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f t="shared" si="1"/>
        <v>5</v>
      </c>
      <c r="AD15" s="14">
        <v>2</v>
      </c>
      <c r="AE15" s="14">
        <v>2</v>
      </c>
      <c r="AF15" s="14">
        <v>2</v>
      </c>
      <c r="AG15" s="14">
        <v>2</v>
      </c>
      <c r="AH15" s="14">
        <v>2</v>
      </c>
      <c r="AI15" s="14">
        <f t="shared" si="4"/>
        <v>10</v>
      </c>
      <c r="AJ15" s="14">
        <f t="shared" si="6"/>
        <v>35</v>
      </c>
      <c r="AK15" s="46">
        <f t="shared" si="5"/>
        <v>100</v>
      </c>
      <c r="AL15" s="37">
        <f t="shared" si="2"/>
        <v>1</v>
      </c>
      <c r="AM15" s="37" t="str">
        <f t="shared" si="3"/>
        <v xml:space="preserve"> </v>
      </c>
      <c r="AO15" s="50" t="s">
        <v>276</v>
      </c>
    </row>
    <row r="16" spans="1:41" ht="21.9" customHeight="1" x14ac:dyDescent="0.3">
      <c r="A16" s="14">
        <v>6</v>
      </c>
      <c r="B16" s="34" t="s">
        <v>75</v>
      </c>
      <c r="C16" s="14">
        <v>1</v>
      </c>
      <c r="D16" s="14">
        <v>1</v>
      </c>
      <c r="E16" s="14">
        <v>1</v>
      </c>
      <c r="F16" s="14">
        <v>1</v>
      </c>
      <c r="G16" s="14">
        <v>1</v>
      </c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f t="shared" si="0"/>
        <v>20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f t="shared" si="1"/>
        <v>5</v>
      </c>
      <c r="AD16" s="14">
        <v>2</v>
      </c>
      <c r="AE16" s="14">
        <v>2</v>
      </c>
      <c r="AF16" s="14">
        <v>2</v>
      </c>
      <c r="AG16" s="14">
        <v>2</v>
      </c>
      <c r="AH16" s="14">
        <v>2</v>
      </c>
      <c r="AI16" s="14">
        <f t="shared" si="4"/>
        <v>10</v>
      </c>
      <c r="AJ16" s="14">
        <f t="shared" si="6"/>
        <v>35</v>
      </c>
      <c r="AK16" s="46">
        <f t="shared" si="5"/>
        <v>100</v>
      </c>
      <c r="AL16" s="37">
        <f t="shared" si="2"/>
        <v>1</v>
      </c>
      <c r="AM16" s="37" t="str">
        <f t="shared" si="3"/>
        <v xml:space="preserve"> </v>
      </c>
      <c r="AO16" s="51" t="s">
        <v>277</v>
      </c>
    </row>
    <row r="17" spans="1:41" ht="21.9" customHeight="1" x14ac:dyDescent="0.3">
      <c r="A17" s="14">
        <v>7</v>
      </c>
      <c r="B17" s="34" t="s">
        <v>49</v>
      </c>
      <c r="C17" s="14">
        <v>1</v>
      </c>
      <c r="D17" s="1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f t="shared" si="0"/>
        <v>20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f t="shared" si="1"/>
        <v>5</v>
      </c>
      <c r="AD17" s="14">
        <v>2</v>
      </c>
      <c r="AE17" s="14">
        <v>2</v>
      </c>
      <c r="AF17" s="14">
        <v>2</v>
      </c>
      <c r="AG17" s="14">
        <v>2</v>
      </c>
      <c r="AH17" s="14">
        <v>2</v>
      </c>
      <c r="AI17" s="14">
        <f t="shared" si="4"/>
        <v>10</v>
      </c>
      <c r="AJ17" s="14">
        <f t="shared" si="6"/>
        <v>35</v>
      </c>
      <c r="AK17" s="46">
        <f t="shared" si="5"/>
        <v>100</v>
      </c>
      <c r="AL17" s="37">
        <f t="shared" si="2"/>
        <v>1</v>
      </c>
      <c r="AM17" s="37" t="str">
        <f t="shared" si="3"/>
        <v xml:space="preserve"> </v>
      </c>
      <c r="AO17" s="51" t="s">
        <v>278</v>
      </c>
    </row>
    <row r="18" spans="1:41" ht="21.9" customHeight="1" thickBot="1" x14ac:dyDescent="0.35">
      <c r="A18" s="14">
        <v>8</v>
      </c>
      <c r="B18" s="34" t="s">
        <v>97</v>
      </c>
      <c r="C18" s="14">
        <v>1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f t="shared" si="0"/>
        <v>20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f t="shared" si="1"/>
        <v>5</v>
      </c>
      <c r="AD18" s="14">
        <v>2</v>
      </c>
      <c r="AE18" s="14">
        <v>2</v>
      </c>
      <c r="AF18" s="14">
        <v>2</v>
      </c>
      <c r="AG18" s="14">
        <v>2</v>
      </c>
      <c r="AH18" s="14">
        <v>2</v>
      </c>
      <c r="AI18" s="14">
        <f t="shared" si="4"/>
        <v>10</v>
      </c>
      <c r="AJ18" s="14">
        <f t="shared" si="6"/>
        <v>35</v>
      </c>
      <c r="AK18" s="46">
        <f t="shared" si="5"/>
        <v>100</v>
      </c>
      <c r="AL18" s="37">
        <f t="shared" si="2"/>
        <v>1</v>
      </c>
      <c r="AM18" s="37" t="str">
        <f t="shared" si="3"/>
        <v xml:space="preserve"> </v>
      </c>
      <c r="AO18" s="52" t="s">
        <v>279</v>
      </c>
    </row>
    <row r="19" spans="1:41" ht="21.9" customHeight="1" thickTop="1" x14ac:dyDescent="0.3">
      <c r="A19" s="14">
        <v>9</v>
      </c>
      <c r="B19" s="34" t="s">
        <v>51</v>
      </c>
      <c r="C19" s="14"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f t="shared" si="0"/>
        <v>20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f t="shared" si="1"/>
        <v>5</v>
      </c>
      <c r="AD19" s="14">
        <v>2</v>
      </c>
      <c r="AE19" s="14">
        <v>2</v>
      </c>
      <c r="AF19" s="14">
        <v>2</v>
      </c>
      <c r="AG19" s="14">
        <v>2</v>
      </c>
      <c r="AH19" s="14">
        <v>2</v>
      </c>
      <c r="AI19" s="14">
        <f t="shared" si="4"/>
        <v>10</v>
      </c>
      <c r="AJ19" s="14">
        <f t="shared" si="6"/>
        <v>35</v>
      </c>
      <c r="AK19" s="46">
        <f t="shared" si="5"/>
        <v>100</v>
      </c>
      <c r="AL19" s="37">
        <f t="shared" si="2"/>
        <v>1</v>
      </c>
      <c r="AM19" s="37" t="str">
        <f t="shared" si="3"/>
        <v xml:space="preserve"> </v>
      </c>
    </row>
    <row r="20" spans="1:41" ht="21.9" customHeight="1" x14ac:dyDescent="0.3">
      <c r="A20" s="14">
        <v>10</v>
      </c>
      <c r="B20" s="34" t="s">
        <v>53</v>
      </c>
      <c r="C20" s="14">
        <v>1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f t="shared" si="0"/>
        <v>20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f t="shared" si="1"/>
        <v>5</v>
      </c>
      <c r="AD20" s="14">
        <v>2</v>
      </c>
      <c r="AE20" s="14">
        <v>2</v>
      </c>
      <c r="AF20" s="14">
        <v>2</v>
      </c>
      <c r="AG20" s="14">
        <v>2</v>
      </c>
      <c r="AH20" s="14">
        <v>2</v>
      </c>
      <c r="AI20" s="14">
        <f t="shared" si="4"/>
        <v>10</v>
      </c>
      <c r="AJ20" s="14">
        <f t="shared" si="6"/>
        <v>35</v>
      </c>
      <c r="AK20" s="46">
        <f t="shared" si="5"/>
        <v>100</v>
      </c>
      <c r="AL20" s="37">
        <f t="shared" si="2"/>
        <v>1</v>
      </c>
      <c r="AM20" s="37" t="str">
        <f t="shared" si="3"/>
        <v xml:space="preserve"> </v>
      </c>
    </row>
    <row r="21" spans="1:41" ht="21.9" customHeight="1" x14ac:dyDescent="0.3">
      <c r="A21" s="14">
        <v>11</v>
      </c>
      <c r="B21" s="34" t="s">
        <v>55</v>
      </c>
      <c r="C21" s="14">
        <v>1</v>
      </c>
      <c r="D21" s="14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f t="shared" si="0"/>
        <v>20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f t="shared" si="1"/>
        <v>5</v>
      </c>
      <c r="AD21" s="14">
        <v>2</v>
      </c>
      <c r="AE21" s="14">
        <v>2</v>
      </c>
      <c r="AF21" s="14">
        <v>2</v>
      </c>
      <c r="AG21" s="14">
        <v>2</v>
      </c>
      <c r="AH21" s="14">
        <v>2</v>
      </c>
      <c r="AI21" s="14">
        <f t="shared" si="4"/>
        <v>10</v>
      </c>
      <c r="AJ21" s="14">
        <f t="shared" si="6"/>
        <v>35</v>
      </c>
      <c r="AK21" s="46">
        <f t="shared" si="5"/>
        <v>100</v>
      </c>
      <c r="AL21" s="37">
        <f t="shared" si="2"/>
        <v>1</v>
      </c>
      <c r="AM21" s="37" t="str">
        <f t="shared" si="3"/>
        <v xml:space="preserve"> </v>
      </c>
    </row>
    <row r="22" spans="1:41" ht="21.9" customHeight="1" x14ac:dyDescent="0.3">
      <c r="A22" s="14">
        <v>12</v>
      </c>
      <c r="B22" s="34" t="s">
        <v>101</v>
      </c>
      <c r="C22" s="14">
        <v>1</v>
      </c>
      <c r="D22" s="14">
        <v>1</v>
      </c>
      <c r="E22" s="14">
        <v>1</v>
      </c>
      <c r="F22" s="14">
        <v>1</v>
      </c>
      <c r="G22" s="14">
        <v>1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f t="shared" si="0"/>
        <v>20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f t="shared" si="1"/>
        <v>5</v>
      </c>
      <c r="AD22" s="14">
        <v>2</v>
      </c>
      <c r="AE22" s="14">
        <v>2</v>
      </c>
      <c r="AF22" s="14">
        <v>2</v>
      </c>
      <c r="AG22" s="14">
        <v>2</v>
      </c>
      <c r="AH22" s="14">
        <v>2</v>
      </c>
      <c r="AI22" s="14">
        <f t="shared" si="4"/>
        <v>10</v>
      </c>
      <c r="AJ22" s="14">
        <f t="shared" si="6"/>
        <v>35</v>
      </c>
      <c r="AK22" s="46">
        <f t="shared" si="5"/>
        <v>100</v>
      </c>
      <c r="AL22" s="37">
        <f t="shared" si="2"/>
        <v>1</v>
      </c>
      <c r="AM22" s="37" t="str">
        <f t="shared" si="3"/>
        <v xml:space="preserve"> </v>
      </c>
    </row>
    <row r="23" spans="1:41" ht="21.9" customHeight="1" x14ac:dyDescent="0.3">
      <c r="A23" s="14">
        <v>13</v>
      </c>
      <c r="B23" s="34" t="s">
        <v>102</v>
      </c>
      <c r="C23" s="14">
        <v>1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f t="shared" si="0"/>
        <v>20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f t="shared" si="1"/>
        <v>5</v>
      </c>
      <c r="AD23" s="14">
        <v>2</v>
      </c>
      <c r="AE23" s="14">
        <v>2</v>
      </c>
      <c r="AF23" s="14">
        <v>2</v>
      </c>
      <c r="AG23" s="14">
        <v>2</v>
      </c>
      <c r="AH23" s="14">
        <v>2</v>
      </c>
      <c r="AI23" s="14">
        <f t="shared" si="4"/>
        <v>10</v>
      </c>
      <c r="AJ23" s="14">
        <f t="shared" si="6"/>
        <v>35</v>
      </c>
      <c r="AK23" s="46">
        <f t="shared" si="5"/>
        <v>100</v>
      </c>
      <c r="AL23" s="37">
        <f t="shared" si="2"/>
        <v>1</v>
      </c>
      <c r="AM23" s="37" t="str">
        <f t="shared" si="3"/>
        <v xml:space="preserve"> </v>
      </c>
    </row>
    <row r="24" spans="1:41" ht="21.9" customHeight="1" x14ac:dyDescent="0.3">
      <c r="A24" s="14">
        <v>14</v>
      </c>
      <c r="B24" s="34" t="s">
        <v>58</v>
      </c>
      <c r="C24" s="14">
        <v>1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f t="shared" si="0"/>
        <v>20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f t="shared" si="1"/>
        <v>5</v>
      </c>
      <c r="AD24" s="14">
        <v>2</v>
      </c>
      <c r="AE24" s="14">
        <v>2</v>
      </c>
      <c r="AF24" s="14">
        <v>2</v>
      </c>
      <c r="AG24" s="14">
        <v>2</v>
      </c>
      <c r="AH24" s="14">
        <v>2</v>
      </c>
      <c r="AI24" s="14">
        <f t="shared" si="4"/>
        <v>10</v>
      </c>
      <c r="AJ24" s="14">
        <f t="shared" si="6"/>
        <v>35</v>
      </c>
      <c r="AK24" s="46">
        <f t="shared" si="5"/>
        <v>100</v>
      </c>
      <c r="AL24" s="37">
        <f t="shared" si="2"/>
        <v>1</v>
      </c>
      <c r="AM24" s="37" t="str">
        <f t="shared" si="3"/>
        <v xml:space="preserve"> </v>
      </c>
    </row>
    <row r="25" spans="1:41" ht="21.9" customHeight="1" x14ac:dyDescent="0.3">
      <c r="A25" s="14">
        <v>15</v>
      </c>
      <c r="B25" s="34" t="s">
        <v>103</v>
      </c>
      <c r="C25" s="14">
        <v>1</v>
      </c>
      <c r="D25" s="14">
        <v>1</v>
      </c>
      <c r="E25" s="14">
        <v>1</v>
      </c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f t="shared" si="0"/>
        <v>20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f t="shared" si="1"/>
        <v>5</v>
      </c>
      <c r="AD25" s="14">
        <v>2</v>
      </c>
      <c r="AE25" s="14">
        <v>2</v>
      </c>
      <c r="AF25" s="14">
        <v>2</v>
      </c>
      <c r="AG25" s="14">
        <v>2</v>
      </c>
      <c r="AH25" s="14">
        <v>2</v>
      </c>
      <c r="AI25" s="14">
        <f t="shared" si="4"/>
        <v>10</v>
      </c>
      <c r="AJ25" s="14">
        <f t="shared" si="6"/>
        <v>35</v>
      </c>
      <c r="AK25" s="46">
        <f t="shared" si="5"/>
        <v>100</v>
      </c>
      <c r="AL25" s="37">
        <f t="shared" si="2"/>
        <v>1</v>
      </c>
      <c r="AM25" s="37" t="str">
        <f t="shared" si="3"/>
        <v xml:space="preserve"> </v>
      </c>
    </row>
    <row r="26" spans="1:41" ht="21.9" customHeight="1" x14ac:dyDescent="0.3">
      <c r="A26" s="14">
        <v>16</v>
      </c>
      <c r="B26" s="34" t="s">
        <v>59</v>
      </c>
      <c r="C26" s="14">
        <v>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f t="shared" si="0"/>
        <v>20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f t="shared" si="1"/>
        <v>5</v>
      </c>
      <c r="AD26" s="14">
        <v>2</v>
      </c>
      <c r="AE26" s="14">
        <v>2</v>
      </c>
      <c r="AF26" s="14">
        <v>2</v>
      </c>
      <c r="AG26" s="14">
        <v>2</v>
      </c>
      <c r="AH26" s="14">
        <v>2</v>
      </c>
      <c r="AI26" s="14">
        <f t="shared" si="4"/>
        <v>10</v>
      </c>
      <c r="AJ26" s="14">
        <f t="shared" si="6"/>
        <v>35</v>
      </c>
      <c r="AK26" s="46">
        <f t="shared" si="5"/>
        <v>100</v>
      </c>
      <c r="AL26" s="37">
        <f t="shared" si="2"/>
        <v>1</v>
      </c>
      <c r="AM26" s="37" t="str">
        <f t="shared" si="3"/>
        <v xml:space="preserve"> </v>
      </c>
    </row>
    <row r="27" spans="1:41" ht="21.9" customHeight="1" x14ac:dyDescent="0.3">
      <c r="A27" s="14">
        <v>17</v>
      </c>
      <c r="B27" s="34" t="s">
        <v>60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f t="shared" si="0"/>
        <v>20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f t="shared" si="1"/>
        <v>5</v>
      </c>
      <c r="AD27" s="14">
        <v>2</v>
      </c>
      <c r="AE27" s="14">
        <v>2</v>
      </c>
      <c r="AF27" s="14">
        <v>2</v>
      </c>
      <c r="AG27" s="14">
        <v>2</v>
      </c>
      <c r="AH27" s="14">
        <v>2</v>
      </c>
      <c r="AI27" s="14">
        <f t="shared" si="4"/>
        <v>10</v>
      </c>
      <c r="AJ27" s="14">
        <f t="shared" si="6"/>
        <v>35</v>
      </c>
      <c r="AK27" s="46">
        <f t="shared" si="5"/>
        <v>100</v>
      </c>
      <c r="AL27" s="37">
        <f t="shared" si="2"/>
        <v>1</v>
      </c>
      <c r="AM27" s="37" t="str">
        <f t="shared" si="3"/>
        <v xml:space="preserve"> </v>
      </c>
    </row>
    <row r="28" spans="1:41" ht="21.9" customHeight="1" x14ac:dyDescent="0.3">
      <c r="A28" s="14">
        <v>18</v>
      </c>
      <c r="B28" s="34" t="s">
        <v>104</v>
      </c>
      <c r="C28" s="14">
        <v>1</v>
      </c>
      <c r="D28" s="14">
        <v>1</v>
      </c>
      <c r="E28" s="14">
        <v>1</v>
      </c>
      <c r="F28" s="14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f t="shared" si="0"/>
        <v>20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f t="shared" si="1"/>
        <v>5</v>
      </c>
      <c r="AD28" s="14">
        <v>2</v>
      </c>
      <c r="AE28" s="14">
        <v>2</v>
      </c>
      <c r="AF28" s="14">
        <v>2</v>
      </c>
      <c r="AG28" s="14">
        <v>2</v>
      </c>
      <c r="AH28" s="14">
        <v>2</v>
      </c>
      <c r="AI28" s="14">
        <f t="shared" si="4"/>
        <v>10</v>
      </c>
      <c r="AJ28" s="14">
        <f t="shared" si="6"/>
        <v>35</v>
      </c>
      <c r="AK28" s="46">
        <f t="shared" si="5"/>
        <v>100</v>
      </c>
      <c r="AL28" s="37">
        <f t="shared" si="2"/>
        <v>1</v>
      </c>
      <c r="AM28" s="37" t="str">
        <f t="shared" si="3"/>
        <v xml:space="preserve"> </v>
      </c>
    </row>
    <row r="29" spans="1:41" ht="21.9" customHeight="1" x14ac:dyDescent="0.3">
      <c r="A29" s="14">
        <v>19</v>
      </c>
      <c r="B29" s="34" t="s">
        <v>63</v>
      </c>
      <c r="C29" s="14">
        <v>1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f t="shared" si="0"/>
        <v>20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f t="shared" si="1"/>
        <v>5</v>
      </c>
      <c r="AD29" s="14">
        <v>2</v>
      </c>
      <c r="AE29" s="14">
        <v>2</v>
      </c>
      <c r="AF29" s="14">
        <v>2</v>
      </c>
      <c r="AG29" s="14">
        <v>2</v>
      </c>
      <c r="AH29" s="14">
        <v>2</v>
      </c>
      <c r="AI29" s="14">
        <f t="shared" si="4"/>
        <v>10</v>
      </c>
      <c r="AJ29" s="14">
        <f t="shared" si="6"/>
        <v>35</v>
      </c>
      <c r="AK29" s="46">
        <f t="shared" si="5"/>
        <v>100</v>
      </c>
      <c r="AL29" s="37">
        <f t="shared" si="2"/>
        <v>1</v>
      </c>
      <c r="AM29" s="37" t="str">
        <f t="shared" si="3"/>
        <v xml:space="preserve"> </v>
      </c>
    </row>
    <row r="30" spans="1:41" ht="21.9" customHeight="1" x14ac:dyDescent="0.3">
      <c r="A30" s="14">
        <v>20</v>
      </c>
      <c r="B30" s="34" t="s">
        <v>105</v>
      </c>
      <c r="C30" s="14">
        <v>1</v>
      </c>
      <c r="D30" s="14">
        <v>1</v>
      </c>
      <c r="E30" s="14">
        <v>1</v>
      </c>
      <c r="F30" s="14">
        <v>1</v>
      </c>
      <c r="G30" s="14">
        <v>1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f t="shared" si="0"/>
        <v>20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f t="shared" si="1"/>
        <v>5</v>
      </c>
      <c r="AD30" s="14">
        <v>2</v>
      </c>
      <c r="AE30" s="14">
        <v>2</v>
      </c>
      <c r="AF30" s="14">
        <v>2</v>
      </c>
      <c r="AG30" s="14">
        <v>2</v>
      </c>
      <c r="AH30" s="14">
        <v>2</v>
      </c>
      <c r="AI30" s="14">
        <f t="shared" si="4"/>
        <v>10</v>
      </c>
      <c r="AJ30" s="14">
        <f t="shared" si="6"/>
        <v>35</v>
      </c>
      <c r="AK30" s="46">
        <f t="shared" si="5"/>
        <v>100</v>
      </c>
      <c r="AL30" s="37">
        <f t="shared" si="2"/>
        <v>1</v>
      </c>
      <c r="AM30" s="37" t="str">
        <f t="shared" si="3"/>
        <v xml:space="preserve"> </v>
      </c>
    </row>
    <row r="31" spans="1:41" ht="21.9" customHeight="1" x14ac:dyDescent="0.3">
      <c r="A31" s="14">
        <v>21</v>
      </c>
      <c r="B31" s="34" t="s">
        <v>106</v>
      </c>
      <c r="C31" s="14">
        <v>1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f t="shared" si="0"/>
        <v>20</v>
      </c>
      <c r="X31" s="14">
        <v>1</v>
      </c>
      <c r="Y31" s="14">
        <v>1</v>
      </c>
      <c r="Z31" s="14">
        <v>1</v>
      </c>
      <c r="AA31" s="14">
        <v>1</v>
      </c>
      <c r="AB31" s="14">
        <v>1</v>
      </c>
      <c r="AC31" s="14">
        <f t="shared" si="1"/>
        <v>5</v>
      </c>
      <c r="AD31" s="14">
        <v>2</v>
      </c>
      <c r="AE31" s="14">
        <v>2</v>
      </c>
      <c r="AF31" s="14">
        <v>2</v>
      </c>
      <c r="AG31" s="14">
        <v>2</v>
      </c>
      <c r="AH31" s="14">
        <v>2</v>
      </c>
      <c r="AI31" s="14">
        <f t="shared" si="4"/>
        <v>10</v>
      </c>
      <c r="AJ31" s="14">
        <f t="shared" si="6"/>
        <v>35</v>
      </c>
      <c r="AK31" s="46">
        <f t="shared" si="5"/>
        <v>100</v>
      </c>
      <c r="AL31" s="37">
        <f t="shared" si="2"/>
        <v>1</v>
      </c>
      <c r="AM31" s="37" t="str">
        <f t="shared" si="3"/>
        <v xml:space="preserve"> </v>
      </c>
    </row>
    <row r="32" spans="1:41" ht="21.9" customHeight="1" x14ac:dyDescent="0.3">
      <c r="A32" s="14">
        <v>22</v>
      </c>
      <c r="B32" s="34" t="s">
        <v>86</v>
      </c>
      <c r="C32" s="14">
        <v>1</v>
      </c>
      <c r="D32" s="14">
        <v>1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f t="shared" si="0"/>
        <v>20</v>
      </c>
      <c r="X32" s="14">
        <v>1</v>
      </c>
      <c r="Y32" s="14">
        <v>1</v>
      </c>
      <c r="Z32" s="14">
        <v>1</v>
      </c>
      <c r="AA32" s="14">
        <v>1</v>
      </c>
      <c r="AB32" s="14">
        <v>1</v>
      </c>
      <c r="AC32" s="14">
        <f t="shared" si="1"/>
        <v>5</v>
      </c>
      <c r="AD32" s="14">
        <v>2</v>
      </c>
      <c r="AE32" s="14">
        <v>2</v>
      </c>
      <c r="AF32" s="14">
        <v>2</v>
      </c>
      <c r="AG32" s="14">
        <v>2</v>
      </c>
      <c r="AH32" s="14">
        <v>2</v>
      </c>
      <c r="AI32" s="14">
        <f t="shared" si="4"/>
        <v>10</v>
      </c>
      <c r="AJ32" s="14">
        <f t="shared" si="6"/>
        <v>35</v>
      </c>
      <c r="AK32" s="46">
        <f t="shared" si="5"/>
        <v>100</v>
      </c>
      <c r="AL32" s="37">
        <f t="shared" si="2"/>
        <v>1</v>
      </c>
      <c r="AM32" s="37" t="str">
        <f t="shared" si="3"/>
        <v xml:space="preserve"> </v>
      </c>
    </row>
    <row r="33" spans="1:39" ht="21.9" customHeight="1" x14ac:dyDescent="0.3">
      <c r="A33" s="14">
        <v>23</v>
      </c>
      <c r="B33" s="34" t="s">
        <v>89</v>
      </c>
      <c r="C33" s="14">
        <v>1</v>
      </c>
      <c r="D33" s="14">
        <v>1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f t="shared" si="0"/>
        <v>20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f t="shared" si="1"/>
        <v>5</v>
      </c>
      <c r="AD33" s="14">
        <v>2</v>
      </c>
      <c r="AE33" s="14">
        <v>2</v>
      </c>
      <c r="AF33" s="14">
        <v>2</v>
      </c>
      <c r="AG33" s="14">
        <v>2</v>
      </c>
      <c r="AH33" s="14">
        <v>2</v>
      </c>
      <c r="AI33" s="14">
        <f t="shared" si="4"/>
        <v>10</v>
      </c>
      <c r="AJ33" s="14">
        <f t="shared" si="6"/>
        <v>35</v>
      </c>
      <c r="AK33" s="46">
        <f t="shared" si="5"/>
        <v>100</v>
      </c>
      <c r="AL33" s="37">
        <f t="shared" si="2"/>
        <v>1</v>
      </c>
      <c r="AM33" s="37" t="str">
        <f t="shared" si="3"/>
        <v xml:space="preserve"> </v>
      </c>
    </row>
    <row r="34" spans="1:39" ht="21.9" customHeight="1" x14ac:dyDescent="0.3">
      <c r="A34" s="14">
        <v>24</v>
      </c>
      <c r="B34" s="34" t="s">
        <v>65</v>
      </c>
      <c r="C34" s="14">
        <v>1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>
        <v>1</v>
      </c>
      <c r="K34" s="14">
        <v>1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f t="shared" si="0"/>
        <v>20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f t="shared" si="1"/>
        <v>5</v>
      </c>
      <c r="AD34" s="14">
        <v>2</v>
      </c>
      <c r="AE34" s="14">
        <v>2</v>
      </c>
      <c r="AF34" s="14">
        <v>2</v>
      </c>
      <c r="AG34" s="14">
        <v>2</v>
      </c>
      <c r="AH34" s="14">
        <v>2</v>
      </c>
      <c r="AI34" s="14">
        <f t="shared" si="4"/>
        <v>10</v>
      </c>
      <c r="AJ34" s="14">
        <f t="shared" si="6"/>
        <v>35</v>
      </c>
      <c r="AK34" s="46">
        <f t="shared" si="5"/>
        <v>100</v>
      </c>
      <c r="AL34" s="37">
        <f t="shared" si="2"/>
        <v>1</v>
      </c>
      <c r="AM34" s="37" t="str">
        <f t="shared" si="3"/>
        <v xml:space="preserve"> </v>
      </c>
    </row>
    <row r="35" spans="1:39" ht="21.9" customHeight="1" x14ac:dyDescent="0.3">
      <c r="A35" s="14">
        <v>25</v>
      </c>
      <c r="B35" s="34" t="s">
        <v>112</v>
      </c>
      <c r="C35" s="14">
        <v>1</v>
      </c>
      <c r="D35" s="1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f t="shared" si="0"/>
        <v>20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f>SUM(X35:AB35)</f>
        <v>5</v>
      </c>
      <c r="AD35" s="14">
        <v>2</v>
      </c>
      <c r="AE35" s="14">
        <v>2</v>
      </c>
      <c r="AF35" s="14">
        <v>2</v>
      </c>
      <c r="AG35" s="14">
        <v>2</v>
      </c>
      <c r="AH35" s="14">
        <v>2</v>
      </c>
      <c r="AI35" s="14">
        <f t="shared" si="4"/>
        <v>10</v>
      </c>
      <c r="AJ35" s="14">
        <f t="shared" si="6"/>
        <v>35</v>
      </c>
      <c r="AK35" s="46">
        <f t="shared" si="5"/>
        <v>100</v>
      </c>
      <c r="AL35" s="37"/>
      <c r="AM35" s="37" t="str">
        <f t="shared" si="3"/>
        <v xml:space="preserve"> </v>
      </c>
    </row>
    <row r="36" spans="1:39" ht="20.100000000000001" customHeight="1" x14ac:dyDescent="0.3">
      <c r="A36" s="16" t="s">
        <v>36</v>
      </c>
      <c r="B36" s="17"/>
      <c r="C36" s="31">
        <f t="shared" ref="C36:V36" si="7">SUM(C11:C35)</f>
        <v>25</v>
      </c>
      <c r="D36" s="31">
        <f t="shared" si="7"/>
        <v>25</v>
      </c>
      <c r="E36" s="31">
        <f t="shared" si="7"/>
        <v>25</v>
      </c>
      <c r="F36" s="31">
        <f t="shared" si="7"/>
        <v>25</v>
      </c>
      <c r="G36" s="31">
        <f t="shared" si="7"/>
        <v>25</v>
      </c>
      <c r="H36" s="31">
        <f t="shared" si="7"/>
        <v>25</v>
      </c>
      <c r="I36" s="31">
        <f t="shared" si="7"/>
        <v>25</v>
      </c>
      <c r="J36" s="31">
        <f t="shared" si="7"/>
        <v>25</v>
      </c>
      <c r="K36" s="31">
        <f t="shared" si="7"/>
        <v>25</v>
      </c>
      <c r="L36" s="31">
        <f t="shared" si="7"/>
        <v>25</v>
      </c>
      <c r="M36" s="31">
        <f t="shared" si="7"/>
        <v>25</v>
      </c>
      <c r="N36" s="31">
        <f t="shared" si="7"/>
        <v>25</v>
      </c>
      <c r="O36" s="31">
        <f t="shared" si="7"/>
        <v>25</v>
      </c>
      <c r="P36" s="31">
        <f t="shared" si="7"/>
        <v>25</v>
      </c>
      <c r="Q36" s="31">
        <f t="shared" si="7"/>
        <v>25</v>
      </c>
      <c r="R36" s="31">
        <f t="shared" si="7"/>
        <v>25</v>
      </c>
      <c r="S36" s="31">
        <f t="shared" si="7"/>
        <v>25</v>
      </c>
      <c r="T36" s="31">
        <f t="shared" si="7"/>
        <v>25</v>
      </c>
      <c r="U36" s="31">
        <f t="shared" si="7"/>
        <v>25</v>
      </c>
      <c r="V36" s="31">
        <f t="shared" si="7"/>
        <v>25</v>
      </c>
      <c r="W36" s="65"/>
      <c r="X36" s="31">
        <f>SUM(X11:X35)</f>
        <v>25</v>
      </c>
      <c r="Y36" s="31">
        <f>SUM(Y11:Y35)</f>
        <v>25</v>
      </c>
      <c r="Z36" s="31">
        <f>SUM(Z11:Z35)</f>
        <v>25</v>
      </c>
      <c r="AA36" s="31">
        <f>SUM(AA11:AA35)</f>
        <v>25</v>
      </c>
      <c r="AB36" s="31">
        <f>SUM(AB11:AB35)</f>
        <v>25</v>
      </c>
      <c r="AC36" s="67"/>
      <c r="AD36" s="31">
        <f>SUM(AD11:AD35)</f>
        <v>50</v>
      </c>
      <c r="AE36" s="31">
        <f>SUM(AE11:AE35)</f>
        <v>50</v>
      </c>
      <c r="AF36" s="31">
        <f>SUM(AF11:AF35)</f>
        <v>50</v>
      </c>
      <c r="AG36" s="31">
        <f>SUM(AG11:AG35)</f>
        <v>50</v>
      </c>
      <c r="AH36" s="31">
        <f>SUM(AH11:AH35)</f>
        <v>50</v>
      </c>
      <c r="AI36" s="65"/>
      <c r="AJ36" s="69">
        <f>SUM(AJ11:AJ35)</f>
        <v>875</v>
      </c>
      <c r="AK36" s="71">
        <f>SUM(AK11:AK35)</f>
        <v>2500</v>
      </c>
      <c r="AL36" s="60">
        <f>SUM(AL11:AL35)</f>
        <v>24</v>
      </c>
      <c r="AM36" s="60">
        <f>SUM(AM11:AM35)</f>
        <v>0</v>
      </c>
    </row>
    <row r="37" spans="1:39" ht="20.100000000000001" customHeight="1" x14ac:dyDescent="0.3">
      <c r="A37" s="18" t="s">
        <v>37</v>
      </c>
      <c r="B37" s="17"/>
      <c r="C37" s="33">
        <f>C36*100/25</f>
        <v>100</v>
      </c>
      <c r="D37" s="33">
        <f t="shared" ref="D37:V37" si="8">D36*100/25</f>
        <v>100</v>
      </c>
      <c r="E37" s="33">
        <f t="shared" si="8"/>
        <v>100</v>
      </c>
      <c r="F37" s="33">
        <f t="shared" si="8"/>
        <v>100</v>
      </c>
      <c r="G37" s="33">
        <f t="shared" si="8"/>
        <v>100</v>
      </c>
      <c r="H37" s="33">
        <f t="shared" si="8"/>
        <v>100</v>
      </c>
      <c r="I37" s="33">
        <f t="shared" si="8"/>
        <v>100</v>
      </c>
      <c r="J37" s="33">
        <f t="shared" si="8"/>
        <v>100</v>
      </c>
      <c r="K37" s="33">
        <f t="shared" si="8"/>
        <v>100</v>
      </c>
      <c r="L37" s="33">
        <f t="shared" si="8"/>
        <v>100</v>
      </c>
      <c r="M37" s="33">
        <f t="shared" si="8"/>
        <v>100</v>
      </c>
      <c r="N37" s="33">
        <f t="shared" si="8"/>
        <v>100</v>
      </c>
      <c r="O37" s="33">
        <f t="shared" si="8"/>
        <v>100</v>
      </c>
      <c r="P37" s="33">
        <f t="shared" si="8"/>
        <v>100</v>
      </c>
      <c r="Q37" s="33">
        <f t="shared" si="8"/>
        <v>100</v>
      </c>
      <c r="R37" s="33">
        <f t="shared" si="8"/>
        <v>100</v>
      </c>
      <c r="S37" s="33">
        <f t="shared" si="8"/>
        <v>100</v>
      </c>
      <c r="T37" s="33">
        <f t="shared" si="8"/>
        <v>100</v>
      </c>
      <c r="U37" s="33">
        <f t="shared" si="8"/>
        <v>100</v>
      </c>
      <c r="V37" s="33">
        <f t="shared" si="8"/>
        <v>100</v>
      </c>
      <c r="W37" s="66"/>
      <c r="X37" s="33">
        <f>X36*100/25</f>
        <v>100</v>
      </c>
      <c r="Y37" s="33">
        <f t="shared" ref="Y37:AB37" si="9">Y36*100/25</f>
        <v>100</v>
      </c>
      <c r="Z37" s="33">
        <f t="shared" si="9"/>
        <v>100</v>
      </c>
      <c r="AA37" s="33">
        <f t="shared" si="9"/>
        <v>100</v>
      </c>
      <c r="AB37" s="33">
        <f t="shared" si="9"/>
        <v>100</v>
      </c>
      <c r="AC37" s="68"/>
      <c r="AD37" s="33">
        <f>AD36*100/25</f>
        <v>200</v>
      </c>
      <c r="AE37" s="33">
        <f t="shared" ref="AE37:AG37" si="10">AE36*100/25</f>
        <v>200</v>
      </c>
      <c r="AF37" s="33">
        <f t="shared" si="10"/>
        <v>200</v>
      </c>
      <c r="AG37" s="33">
        <f t="shared" si="10"/>
        <v>200</v>
      </c>
      <c r="AH37" s="33">
        <f>AH36*100/25</f>
        <v>200</v>
      </c>
      <c r="AI37" s="66"/>
      <c r="AJ37" s="70"/>
      <c r="AK37" s="70"/>
      <c r="AL37" s="61"/>
      <c r="AM37" s="61"/>
    </row>
    <row r="39" spans="1:39" ht="20.100000000000001" customHeight="1" x14ac:dyDescent="0.3">
      <c r="A39" s="20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3"/>
      <c r="AK39" s="23"/>
      <c r="AL39" s="24"/>
    </row>
    <row r="40" spans="1:39" ht="20.100000000000001" customHeight="1" x14ac:dyDescent="0.3">
      <c r="A40" s="25"/>
      <c r="B40" s="26"/>
      <c r="C40" s="39" t="s">
        <v>38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 t="s">
        <v>215</v>
      </c>
      <c r="AF40" s="26"/>
      <c r="AG40" s="26"/>
      <c r="AH40" s="26"/>
      <c r="AI40" s="26"/>
      <c r="AJ40" s="26"/>
      <c r="AK40" s="26"/>
      <c r="AL40" s="25"/>
    </row>
    <row r="41" spans="1:39" ht="20.100000000000001" customHeight="1" x14ac:dyDescent="0.3">
      <c r="A41" s="25"/>
      <c r="B41" s="26"/>
      <c r="C41" s="26" t="s">
        <v>39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45"/>
      <c r="X41" s="45"/>
      <c r="Y41" s="45"/>
      <c r="Z41" s="45"/>
      <c r="AA41" s="45"/>
      <c r="AB41" s="45"/>
      <c r="AC41" s="45"/>
      <c r="AD41" s="26"/>
      <c r="AE41" s="26" t="s">
        <v>214</v>
      </c>
      <c r="AF41" s="26"/>
      <c r="AG41" s="26"/>
      <c r="AH41" s="26"/>
      <c r="AI41" s="26"/>
      <c r="AJ41" s="26"/>
      <c r="AK41" s="26"/>
      <c r="AL41" s="25"/>
    </row>
    <row r="42" spans="1:39" ht="20.100000000000001" customHeight="1" x14ac:dyDescent="0.3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45"/>
      <c r="AD42" s="45"/>
      <c r="AE42" s="45"/>
      <c r="AF42" s="26"/>
      <c r="AG42" s="26"/>
      <c r="AH42" s="26"/>
      <c r="AI42" s="26"/>
      <c r="AJ42" s="26"/>
      <c r="AK42" s="26"/>
      <c r="AL42" s="25"/>
    </row>
    <row r="43" spans="1:39" ht="20.100000000000001" customHeight="1" x14ac:dyDescent="0.3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5"/>
    </row>
    <row r="44" spans="1:39" ht="20.100000000000001" customHeight="1" x14ac:dyDescent="0.3">
      <c r="A44" s="25"/>
      <c r="B44" s="26"/>
      <c r="C44" s="28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5"/>
    </row>
    <row r="45" spans="1:39" ht="20.100000000000001" customHeight="1" x14ac:dyDescent="0.3">
      <c r="A45" s="25"/>
      <c r="B45" s="26"/>
      <c r="C45" s="28" t="s">
        <v>40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9"/>
      <c r="X45" s="29"/>
      <c r="Y45" s="29"/>
      <c r="Z45" s="29"/>
      <c r="AA45" s="29"/>
      <c r="AB45" s="29"/>
      <c r="AC45" s="26"/>
      <c r="AD45" s="39"/>
      <c r="AE45" s="29" t="s">
        <v>68</v>
      </c>
      <c r="AF45" s="26"/>
      <c r="AG45" s="26"/>
      <c r="AH45" s="26"/>
      <c r="AI45" s="26"/>
      <c r="AJ45" s="26"/>
      <c r="AK45" s="26"/>
      <c r="AL45" s="25"/>
    </row>
  </sheetData>
  <mergeCells count="17">
    <mergeCell ref="A1:AM1"/>
    <mergeCell ref="A2:AM2"/>
    <mergeCell ref="A8:A9"/>
    <mergeCell ref="B8:B9"/>
    <mergeCell ref="C8:V8"/>
    <mergeCell ref="X8:AB8"/>
    <mergeCell ref="AD8:AH8"/>
    <mergeCell ref="AK8:AK9"/>
    <mergeCell ref="AL8:AM8"/>
    <mergeCell ref="AL36:AL37"/>
    <mergeCell ref="AM36:AM37"/>
    <mergeCell ref="AO13:AO14"/>
    <mergeCell ref="W36:W37"/>
    <mergeCell ref="AC36:AC37"/>
    <mergeCell ref="AI36:AI37"/>
    <mergeCell ref="AJ36:AJ37"/>
    <mergeCell ref="AK36:AK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EBEB-60E5-475F-844B-1A816582256F}">
  <dimension ref="A1:AO52"/>
  <sheetViews>
    <sheetView zoomScale="55" zoomScaleNormal="55" workbookViewId="0">
      <selection activeCell="AD11" sqref="AD11:AH42"/>
    </sheetView>
  </sheetViews>
  <sheetFormatPr defaultColWidth="9.109375" defaultRowHeight="13.8" x14ac:dyDescent="0.3"/>
  <cols>
    <col min="1" max="1" width="4.44140625" style="1" customWidth="1"/>
    <col min="2" max="2" width="38.5546875" style="1" customWidth="1"/>
    <col min="3" max="3" width="4.6640625" style="1" customWidth="1"/>
    <col min="4" max="22" width="3.6640625" style="1" customWidth="1"/>
    <col min="23" max="23" width="9.109375" style="13"/>
    <col min="24" max="28" width="4.6640625" style="1" customWidth="1"/>
    <col min="29" max="29" width="9.109375" style="13"/>
    <col min="30" max="34" width="4.6640625" style="1" customWidth="1"/>
    <col min="35" max="36" width="9.109375" style="1"/>
    <col min="37" max="37" width="11.21875" style="1" customWidth="1"/>
    <col min="38" max="40" width="9.109375" style="1"/>
    <col min="41" max="41" width="87.5546875" style="1" bestFit="1" customWidth="1"/>
    <col min="42" max="16384" width="9.109375" style="1"/>
  </cols>
  <sheetData>
    <row r="1" spans="1:41" ht="20.100000000000001" customHeight="1" x14ac:dyDescent="0.3">
      <c r="A1" s="54" t="s">
        <v>212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41" ht="20.100000000000001" customHeight="1" x14ac:dyDescent="0.3">
      <c r="A2" s="55" t="s">
        <v>213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1" ht="20.100000000000001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  <c r="X3" s="10"/>
      <c r="Y3" s="10"/>
      <c r="Z3" s="10"/>
      <c r="AA3" s="10"/>
      <c r="AB3" s="10"/>
      <c r="AC3" s="19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ht="20.100000000000001" customHeight="1" x14ac:dyDescent="0.3">
      <c r="A4" s="2"/>
      <c r="B4" s="9" t="s">
        <v>0</v>
      </c>
      <c r="C4" s="2"/>
      <c r="D4" s="9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  <c r="X4" s="10"/>
      <c r="Y4" s="10"/>
      <c r="Z4" s="10"/>
      <c r="AA4" s="10"/>
      <c r="AB4" s="10"/>
      <c r="AC4" s="19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20.100000000000001" customHeight="1" x14ac:dyDescent="0.3">
      <c r="A5" s="2"/>
      <c r="B5" s="9" t="s">
        <v>2</v>
      </c>
      <c r="C5" s="2"/>
      <c r="D5" s="11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  <c r="X5" s="10"/>
      <c r="Y5" s="10"/>
      <c r="Z5" s="10"/>
      <c r="AA5" s="10"/>
      <c r="AB5" s="10"/>
      <c r="AC5" s="19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1" ht="20.100000000000001" customHeight="1" x14ac:dyDescent="0.3">
      <c r="A6" s="2"/>
      <c r="B6" s="9" t="s">
        <v>3</v>
      </c>
      <c r="C6" s="2"/>
      <c r="D6" s="11" t="s">
        <v>178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  <c r="X6" s="10"/>
      <c r="Y6" s="10"/>
      <c r="Z6" s="10"/>
      <c r="AA6" s="10"/>
      <c r="AB6" s="10"/>
      <c r="AC6" s="19"/>
      <c r="AD6" s="2"/>
      <c r="AE6" s="2"/>
      <c r="AF6" s="2"/>
      <c r="AG6" s="2"/>
      <c r="AH6" s="2"/>
      <c r="AI6" s="2"/>
      <c r="AJ6" s="2"/>
      <c r="AK6" s="2"/>
      <c r="AL6" s="2"/>
      <c r="AM6" s="2"/>
    </row>
    <row r="8" spans="1:41" ht="30" customHeight="1" x14ac:dyDescent="0.3">
      <c r="A8" s="60" t="s">
        <v>4</v>
      </c>
      <c r="B8" s="60" t="s">
        <v>5</v>
      </c>
      <c r="C8" s="62" t="s">
        <v>6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40" t="s">
        <v>7</v>
      </c>
      <c r="X8" s="62" t="s">
        <v>8</v>
      </c>
      <c r="Y8" s="63"/>
      <c r="Z8" s="63"/>
      <c r="AA8" s="63"/>
      <c r="AB8" s="63"/>
      <c r="AC8" s="40" t="s">
        <v>7</v>
      </c>
      <c r="AD8" s="62" t="s">
        <v>42</v>
      </c>
      <c r="AE8" s="63"/>
      <c r="AF8" s="63"/>
      <c r="AG8" s="63"/>
      <c r="AH8" s="64"/>
      <c r="AI8" s="40" t="s">
        <v>7</v>
      </c>
      <c r="AJ8" s="40" t="s">
        <v>9</v>
      </c>
      <c r="AK8" s="56" t="s">
        <v>10</v>
      </c>
      <c r="AL8" s="58" t="s">
        <v>280</v>
      </c>
      <c r="AM8" s="59"/>
    </row>
    <row r="9" spans="1:41" ht="20.100000000000001" customHeight="1" x14ac:dyDescent="0.3">
      <c r="A9" s="61"/>
      <c r="B9" s="61"/>
      <c r="C9" s="30" t="s">
        <v>11</v>
      </c>
      <c r="D9" s="30" t="s">
        <v>12</v>
      </c>
      <c r="E9" s="30" t="s">
        <v>13</v>
      </c>
      <c r="F9" s="30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30" t="s">
        <v>21</v>
      </c>
      <c r="N9" s="30" t="s">
        <v>22</v>
      </c>
      <c r="O9" s="30" t="s">
        <v>23</v>
      </c>
      <c r="P9" s="30" t="s">
        <v>24</v>
      </c>
      <c r="Q9" s="30" t="s">
        <v>25</v>
      </c>
      <c r="R9" s="30" t="s">
        <v>26</v>
      </c>
      <c r="S9" s="30" t="s">
        <v>27</v>
      </c>
      <c r="T9" s="30" t="s">
        <v>28</v>
      </c>
      <c r="U9" s="30" t="s">
        <v>29</v>
      </c>
      <c r="V9" s="30" t="s">
        <v>30</v>
      </c>
      <c r="W9" s="5" t="s">
        <v>31</v>
      </c>
      <c r="X9" s="6">
        <v>1</v>
      </c>
      <c r="Y9" s="6">
        <v>2</v>
      </c>
      <c r="Z9" s="6">
        <v>3</v>
      </c>
      <c r="AA9" s="6">
        <v>4</v>
      </c>
      <c r="AB9" s="6">
        <v>5</v>
      </c>
      <c r="AC9" s="5" t="s">
        <v>31</v>
      </c>
      <c r="AD9" s="6">
        <v>1</v>
      </c>
      <c r="AE9" s="6">
        <v>2</v>
      </c>
      <c r="AF9" s="6">
        <v>3</v>
      </c>
      <c r="AG9" s="6">
        <v>4</v>
      </c>
      <c r="AH9" s="6">
        <v>5</v>
      </c>
      <c r="AI9" s="5" t="s">
        <v>32</v>
      </c>
      <c r="AJ9" s="38"/>
      <c r="AK9" s="57"/>
      <c r="AL9" s="7" t="s">
        <v>33</v>
      </c>
      <c r="AM9" s="7" t="s">
        <v>34</v>
      </c>
    </row>
    <row r="10" spans="1:41" ht="6.9" customHeight="1" thickBot="1" x14ac:dyDescent="0.35">
      <c r="A10" s="8"/>
      <c r="B10" s="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15"/>
      <c r="X10" s="8"/>
      <c r="Y10" s="8"/>
      <c r="Z10" s="8"/>
      <c r="AA10" s="8"/>
      <c r="AB10" s="8"/>
      <c r="AC10" s="15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41" ht="21.9" customHeight="1" thickTop="1" x14ac:dyDescent="0.3">
      <c r="A11" s="14">
        <v>1</v>
      </c>
      <c r="B11" s="34" t="s">
        <v>149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f t="shared" ref="W11:W42" si="0">SUM(C11:V11)</f>
        <v>20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f>SUM(X11:AB11)</f>
        <v>5</v>
      </c>
      <c r="AD11" s="14">
        <v>2</v>
      </c>
      <c r="AE11" s="14">
        <v>2</v>
      </c>
      <c r="AF11" s="14">
        <v>2</v>
      </c>
      <c r="AG11" s="14">
        <v>2</v>
      </c>
      <c r="AH11" s="14">
        <v>2</v>
      </c>
      <c r="AI11" s="14">
        <f>SUM(AD11:AH11)*1</f>
        <v>10</v>
      </c>
      <c r="AJ11" s="14">
        <f>SUM(W11,AC11,AI11)</f>
        <v>35</v>
      </c>
      <c r="AK11" s="46">
        <f>AJ11*100/35</f>
        <v>100</v>
      </c>
      <c r="AL11" s="37">
        <f>IF(AK11&gt;70,1," ")</f>
        <v>1</v>
      </c>
      <c r="AM11" s="37" t="str">
        <f>IF(AK11&lt;70,1," ")</f>
        <v xml:space="preserve"> </v>
      </c>
      <c r="AO11" s="41" t="s">
        <v>183</v>
      </c>
    </row>
    <row r="12" spans="1:41" ht="21.9" customHeight="1" x14ac:dyDescent="0.3">
      <c r="A12" s="14">
        <v>2</v>
      </c>
      <c r="B12" s="34" t="s">
        <v>150</v>
      </c>
      <c r="C12" s="14">
        <v>1</v>
      </c>
      <c r="D12" s="14">
        <v>1</v>
      </c>
      <c r="E12" s="14">
        <v>1</v>
      </c>
      <c r="F12" s="14">
        <v>1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f t="shared" si="0"/>
        <v>20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f t="shared" ref="AC12:AC41" si="1">SUM(X12:AB12)</f>
        <v>5</v>
      </c>
      <c r="AD12" s="14">
        <v>2</v>
      </c>
      <c r="AE12" s="14">
        <v>2</v>
      </c>
      <c r="AF12" s="14">
        <v>2</v>
      </c>
      <c r="AG12" s="14">
        <v>2</v>
      </c>
      <c r="AH12" s="14">
        <v>2</v>
      </c>
      <c r="AI12" s="14">
        <f>SUM(AD12:AH12)*1</f>
        <v>10</v>
      </c>
      <c r="AJ12" s="14">
        <f>SUM(W12,AC12,AI12)</f>
        <v>35</v>
      </c>
      <c r="AK12" s="46">
        <f t="shared" ref="AK12:AK42" si="2">AJ12*100/35</f>
        <v>100</v>
      </c>
      <c r="AL12" s="37">
        <f t="shared" ref="AL12:AL34" si="3">IF(AK12&gt;70,1," ")</f>
        <v>1</v>
      </c>
      <c r="AM12" s="37" t="str">
        <f t="shared" ref="AM12:AM42" si="4">IF(AK12&lt;70,1," ")</f>
        <v xml:space="preserve"> </v>
      </c>
      <c r="AO12" s="42" t="s">
        <v>268</v>
      </c>
    </row>
    <row r="13" spans="1:41" ht="21.9" customHeight="1" x14ac:dyDescent="0.3">
      <c r="A13" s="14">
        <v>3</v>
      </c>
      <c r="B13" s="35" t="s">
        <v>119</v>
      </c>
      <c r="C13" s="14">
        <v>1</v>
      </c>
      <c r="D13" s="1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f t="shared" si="0"/>
        <v>20</v>
      </c>
      <c r="X13" s="14">
        <v>1</v>
      </c>
      <c r="Y13" s="14">
        <v>1</v>
      </c>
      <c r="Z13" s="14">
        <v>1</v>
      </c>
      <c r="AA13" s="14">
        <v>1</v>
      </c>
      <c r="AB13" s="14">
        <v>1</v>
      </c>
      <c r="AC13" s="14">
        <f>SUM(X13:AB13)</f>
        <v>5</v>
      </c>
      <c r="AD13" s="14">
        <v>2</v>
      </c>
      <c r="AE13" s="14">
        <v>2</v>
      </c>
      <c r="AF13" s="14">
        <v>2</v>
      </c>
      <c r="AG13" s="14">
        <v>2</v>
      </c>
      <c r="AH13" s="14">
        <v>2</v>
      </c>
      <c r="AI13" s="14">
        <f t="shared" ref="AI13:AI42" si="5">SUM(AD13:AH13)*1</f>
        <v>10</v>
      </c>
      <c r="AJ13" s="14">
        <f t="shared" ref="AJ13:AJ42" si="6">SUM(W13,AC13,AI13)</f>
        <v>35</v>
      </c>
      <c r="AK13" s="46">
        <f t="shared" si="2"/>
        <v>100</v>
      </c>
      <c r="AL13" s="37">
        <f t="shared" si="3"/>
        <v>1</v>
      </c>
      <c r="AM13" s="37" t="str">
        <f t="shared" si="4"/>
        <v xml:space="preserve"> </v>
      </c>
      <c r="AO13" s="53" t="s">
        <v>275</v>
      </c>
    </row>
    <row r="14" spans="1:41" ht="21.9" customHeight="1" x14ac:dyDescent="0.3">
      <c r="A14" s="14">
        <v>4</v>
      </c>
      <c r="B14" s="35" t="s">
        <v>151</v>
      </c>
      <c r="C14" s="14">
        <v>1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f t="shared" si="0"/>
        <v>20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f t="shared" si="1"/>
        <v>5</v>
      </c>
      <c r="AD14" s="14">
        <v>2</v>
      </c>
      <c r="AE14" s="14">
        <v>2</v>
      </c>
      <c r="AF14" s="14">
        <v>2</v>
      </c>
      <c r="AG14" s="14">
        <v>2</v>
      </c>
      <c r="AH14" s="14">
        <v>2</v>
      </c>
      <c r="AI14" s="14">
        <f t="shared" si="5"/>
        <v>10</v>
      </c>
      <c r="AJ14" s="14">
        <f t="shared" si="6"/>
        <v>35</v>
      </c>
      <c r="AK14" s="46">
        <f t="shared" si="2"/>
        <v>100</v>
      </c>
      <c r="AL14" s="37">
        <f t="shared" si="3"/>
        <v>1</v>
      </c>
      <c r="AM14" s="37" t="str">
        <f t="shared" si="4"/>
        <v xml:space="preserve"> </v>
      </c>
      <c r="AO14" s="53"/>
    </row>
    <row r="15" spans="1:41" ht="21.9" customHeight="1" x14ac:dyDescent="0.3">
      <c r="A15" s="14">
        <v>5</v>
      </c>
      <c r="B15" s="34" t="s">
        <v>122</v>
      </c>
      <c r="C15" s="14">
        <v>1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f t="shared" si="0"/>
        <v>20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f t="shared" si="1"/>
        <v>5</v>
      </c>
      <c r="AD15" s="14">
        <v>2</v>
      </c>
      <c r="AE15" s="14">
        <v>2</v>
      </c>
      <c r="AF15" s="14">
        <v>2</v>
      </c>
      <c r="AG15" s="14">
        <v>2</v>
      </c>
      <c r="AH15" s="14">
        <v>2</v>
      </c>
      <c r="AI15" s="14">
        <f t="shared" si="5"/>
        <v>10</v>
      </c>
      <c r="AJ15" s="14">
        <f t="shared" si="6"/>
        <v>35</v>
      </c>
      <c r="AK15" s="46">
        <f t="shared" si="2"/>
        <v>100</v>
      </c>
      <c r="AL15" s="37">
        <f t="shared" si="3"/>
        <v>1</v>
      </c>
      <c r="AM15" s="37" t="str">
        <f t="shared" si="4"/>
        <v xml:space="preserve"> </v>
      </c>
      <c r="AO15" s="50" t="s">
        <v>276</v>
      </c>
    </row>
    <row r="16" spans="1:41" ht="21.9" customHeight="1" x14ac:dyDescent="0.3">
      <c r="A16" s="14">
        <v>6</v>
      </c>
      <c r="B16" s="35" t="s">
        <v>123</v>
      </c>
      <c r="C16" s="14">
        <v>1</v>
      </c>
      <c r="D16" s="14">
        <v>1</v>
      </c>
      <c r="E16" s="14">
        <v>1</v>
      </c>
      <c r="F16" s="14">
        <v>1</v>
      </c>
      <c r="G16" s="14">
        <v>1</v>
      </c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f t="shared" si="0"/>
        <v>20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f t="shared" si="1"/>
        <v>5</v>
      </c>
      <c r="AD16" s="14">
        <v>2</v>
      </c>
      <c r="AE16" s="14">
        <v>2</v>
      </c>
      <c r="AF16" s="14">
        <v>2</v>
      </c>
      <c r="AG16" s="14">
        <v>2</v>
      </c>
      <c r="AH16" s="14">
        <v>2</v>
      </c>
      <c r="AI16" s="14">
        <f t="shared" si="5"/>
        <v>10</v>
      </c>
      <c r="AJ16" s="14">
        <f t="shared" si="6"/>
        <v>35</v>
      </c>
      <c r="AK16" s="46">
        <f t="shared" si="2"/>
        <v>100</v>
      </c>
      <c r="AL16" s="37">
        <f t="shared" si="3"/>
        <v>1</v>
      </c>
      <c r="AM16" s="37" t="str">
        <f t="shared" si="4"/>
        <v xml:space="preserve"> </v>
      </c>
      <c r="AO16" s="51" t="s">
        <v>277</v>
      </c>
    </row>
    <row r="17" spans="1:41" ht="21.9" customHeight="1" x14ac:dyDescent="0.3">
      <c r="A17" s="14">
        <v>7</v>
      </c>
      <c r="B17" s="34" t="s">
        <v>153</v>
      </c>
      <c r="C17" s="14">
        <v>1</v>
      </c>
      <c r="D17" s="1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f t="shared" si="0"/>
        <v>20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f t="shared" si="1"/>
        <v>5</v>
      </c>
      <c r="AD17" s="14">
        <v>2</v>
      </c>
      <c r="AE17" s="14">
        <v>2</v>
      </c>
      <c r="AF17" s="14">
        <v>2</v>
      </c>
      <c r="AG17" s="14">
        <v>2</v>
      </c>
      <c r="AH17" s="14">
        <v>2</v>
      </c>
      <c r="AI17" s="14">
        <f t="shared" si="5"/>
        <v>10</v>
      </c>
      <c r="AJ17" s="14">
        <f t="shared" si="6"/>
        <v>35</v>
      </c>
      <c r="AK17" s="46">
        <f t="shared" si="2"/>
        <v>100</v>
      </c>
      <c r="AL17" s="37">
        <f t="shared" si="3"/>
        <v>1</v>
      </c>
      <c r="AM17" s="37" t="str">
        <f t="shared" si="4"/>
        <v xml:space="preserve"> </v>
      </c>
      <c r="AO17" s="51" t="s">
        <v>278</v>
      </c>
    </row>
    <row r="18" spans="1:41" ht="21.9" customHeight="1" thickBot="1" x14ac:dyDescent="0.35">
      <c r="A18" s="14">
        <v>8</v>
      </c>
      <c r="B18" s="35" t="s">
        <v>155</v>
      </c>
      <c r="C18" s="14">
        <v>1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f t="shared" si="0"/>
        <v>20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f t="shared" si="1"/>
        <v>5</v>
      </c>
      <c r="AD18" s="14">
        <v>2</v>
      </c>
      <c r="AE18" s="14">
        <v>2</v>
      </c>
      <c r="AF18" s="14">
        <v>2</v>
      </c>
      <c r="AG18" s="14">
        <v>2</v>
      </c>
      <c r="AH18" s="14">
        <v>2</v>
      </c>
      <c r="AI18" s="14">
        <f t="shared" si="5"/>
        <v>10</v>
      </c>
      <c r="AJ18" s="14">
        <f t="shared" si="6"/>
        <v>35</v>
      </c>
      <c r="AK18" s="46">
        <f t="shared" si="2"/>
        <v>100</v>
      </c>
      <c r="AL18" s="37">
        <f t="shared" si="3"/>
        <v>1</v>
      </c>
      <c r="AM18" s="37" t="str">
        <f t="shared" si="4"/>
        <v xml:space="preserve"> </v>
      </c>
      <c r="AO18" s="52" t="s">
        <v>279</v>
      </c>
    </row>
    <row r="19" spans="1:41" ht="21.9" customHeight="1" thickTop="1" x14ac:dyDescent="0.3">
      <c r="A19" s="14">
        <v>9</v>
      </c>
      <c r="B19" s="35" t="s">
        <v>158</v>
      </c>
      <c r="C19" s="14"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f t="shared" si="0"/>
        <v>20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f t="shared" si="1"/>
        <v>5</v>
      </c>
      <c r="AD19" s="14">
        <v>2</v>
      </c>
      <c r="AE19" s="14">
        <v>2</v>
      </c>
      <c r="AF19" s="14">
        <v>2</v>
      </c>
      <c r="AG19" s="14">
        <v>2</v>
      </c>
      <c r="AH19" s="14">
        <v>2</v>
      </c>
      <c r="AI19" s="14">
        <f t="shared" si="5"/>
        <v>10</v>
      </c>
      <c r="AJ19" s="14">
        <f t="shared" si="6"/>
        <v>35</v>
      </c>
      <c r="AK19" s="46">
        <f t="shared" si="2"/>
        <v>100</v>
      </c>
      <c r="AL19" s="37">
        <f t="shared" si="3"/>
        <v>1</v>
      </c>
      <c r="AM19" s="37" t="str">
        <f t="shared" si="4"/>
        <v xml:space="preserve"> </v>
      </c>
    </row>
    <row r="20" spans="1:41" ht="21.9" customHeight="1" x14ac:dyDescent="0.3">
      <c r="A20" s="14">
        <v>10</v>
      </c>
      <c r="B20" s="34" t="s">
        <v>272</v>
      </c>
      <c r="C20" s="14">
        <v>1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f t="shared" si="0"/>
        <v>20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f t="shared" si="1"/>
        <v>5</v>
      </c>
      <c r="AD20" s="14">
        <v>2</v>
      </c>
      <c r="AE20" s="14">
        <v>2</v>
      </c>
      <c r="AF20" s="14">
        <v>2</v>
      </c>
      <c r="AG20" s="14">
        <v>2</v>
      </c>
      <c r="AH20" s="14">
        <v>2</v>
      </c>
      <c r="AI20" s="14">
        <f t="shared" si="5"/>
        <v>10</v>
      </c>
      <c r="AJ20" s="14">
        <f t="shared" si="6"/>
        <v>35</v>
      </c>
      <c r="AK20" s="46">
        <f t="shared" si="2"/>
        <v>100</v>
      </c>
      <c r="AL20" s="37">
        <f t="shared" si="3"/>
        <v>1</v>
      </c>
      <c r="AM20" s="37" t="str">
        <f t="shared" si="4"/>
        <v xml:space="preserve"> </v>
      </c>
    </row>
    <row r="21" spans="1:41" ht="21.9" customHeight="1" x14ac:dyDescent="0.3">
      <c r="A21" s="14">
        <v>11</v>
      </c>
      <c r="B21" s="34" t="s">
        <v>129</v>
      </c>
      <c r="C21" s="14">
        <v>1</v>
      </c>
      <c r="D21" s="14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f t="shared" si="0"/>
        <v>20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f t="shared" si="1"/>
        <v>5</v>
      </c>
      <c r="AD21" s="14">
        <v>2</v>
      </c>
      <c r="AE21" s="14">
        <v>2</v>
      </c>
      <c r="AF21" s="14">
        <v>2</v>
      </c>
      <c r="AG21" s="14">
        <v>2</v>
      </c>
      <c r="AH21" s="14">
        <v>2</v>
      </c>
      <c r="AI21" s="14">
        <f t="shared" si="5"/>
        <v>10</v>
      </c>
      <c r="AJ21" s="14">
        <f t="shared" si="6"/>
        <v>35</v>
      </c>
      <c r="AK21" s="46">
        <f t="shared" si="2"/>
        <v>100</v>
      </c>
      <c r="AL21" s="37">
        <f t="shared" si="3"/>
        <v>1</v>
      </c>
      <c r="AM21" s="37" t="str">
        <f t="shared" si="4"/>
        <v xml:space="preserve"> </v>
      </c>
    </row>
    <row r="22" spans="1:41" ht="21.9" customHeight="1" x14ac:dyDescent="0.3">
      <c r="A22" s="14">
        <v>12</v>
      </c>
      <c r="B22" s="34" t="s">
        <v>130</v>
      </c>
      <c r="C22" s="14">
        <v>1</v>
      </c>
      <c r="D22" s="14">
        <v>1</v>
      </c>
      <c r="E22" s="14">
        <v>1</v>
      </c>
      <c r="F22" s="14">
        <v>1</v>
      </c>
      <c r="G22" s="14">
        <v>1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f t="shared" si="0"/>
        <v>20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f t="shared" si="1"/>
        <v>5</v>
      </c>
      <c r="AD22" s="14">
        <v>2</v>
      </c>
      <c r="AE22" s="14">
        <v>2</v>
      </c>
      <c r="AF22" s="14">
        <v>2</v>
      </c>
      <c r="AG22" s="14">
        <v>2</v>
      </c>
      <c r="AH22" s="14">
        <v>2</v>
      </c>
      <c r="AI22" s="14">
        <f t="shared" si="5"/>
        <v>10</v>
      </c>
      <c r="AJ22" s="14">
        <f t="shared" si="6"/>
        <v>35</v>
      </c>
      <c r="AK22" s="46">
        <f t="shared" si="2"/>
        <v>100</v>
      </c>
      <c r="AL22" s="37">
        <f t="shared" si="3"/>
        <v>1</v>
      </c>
      <c r="AM22" s="37" t="str">
        <f t="shared" si="4"/>
        <v xml:space="preserve"> </v>
      </c>
    </row>
    <row r="23" spans="1:41" ht="21.9" customHeight="1" x14ac:dyDescent="0.3">
      <c r="A23" s="14">
        <v>13</v>
      </c>
      <c r="B23" s="35" t="s">
        <v>161</v>
      </c>
      <c r="C23" s="14">
        <v>1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f t="shared" si="0"/>
        <v>20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f t="shared" si="1"/>
        <v>5</v>
      </c>
      <c r="AD23" s="14">
        <v>2</v>
      </c>
      <c r="AE23" s="14">
        <v>2</v>
      </c>
      <c r="AF23" s="14">
        <v>2</v>
      </c>
      <c r="AG23" s="14">
        <v>2</v>
      </c>
      <c r="AH23" s="14">
        <v>2</v>
      </c>
      <c r="AI23" s="14">
        <f t="shared" si="5"/>
        <v>10</v>
      </c>
      <c r="AJ23" s="14">
        <f t="shared" si="6"/>
        <v>35</v>
      </c>
      <c r="AK23" s="46">
        <f t="shared" si="2"/>
        <v>100</v>
      </c>
      <c r="AL23" s="37">
        <f t="shared" si="3"/>
        <v>1</v>
      </c>
      <c r="AM23" s="37" t="str">
        <f t="shared" si="4"/>
        <v xml:space="preserve"> </v>
      </c>
    </row>
    <row r="24" spans="1:41" ht="21.9" customHeight="1" x14ac:dyDescent="0.3">
      <c r="A24" s="14">
        <v>14</v>
      </c>
      <c r="B24" s="35" t="s">
        <v>132</v>
      </c>
      <c r="C24" s="14">
        <v>1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f t="shared" si="0"/>
        <v>20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f t="shared" si="1"/>
        <v>5</v>
      </c>
      <c r="AD24" s="14">
        <v>2</v>
      </c>
      <c r="AE24" s="14">
        <v>2</v>
      </c>
      <c r="AF24" s="14">
        <v>2</v>
      </c>
      <c r="AG24" s="14">
        <v>2</v>
      </c>
      <c r="AH24" s="14">
        <v>2</v>
      </c>
      <c r="AI24" s="14">
        <f t="shared" si="5"/>
        <v>10</v>
      </c>
      <c r="AJ24" s="14">
        <f t="shared" si="6"/>
        <v>35</v>
      </c>
      <c r="AK24" s="46">
        <f t="shared" si="2"/>
        <v>100</v>
      </c>
      <c r="AL24" s="37">
        <f t="shared" si="3"/>
        <v>1</v>
      </c>
      <c r="AM24" s="37" t="str">
        <f t="shared" si="4"/>
        <v xml:space="preserve"> </v>
      </c>
    </row>
    <row r="25" spans="1:41" ht="21.9" customHeight="1" x14ac:dyDescent="0.3">
      <c r="A25" s="14">
        <v>15</v>
      </c>
      <c r="B25" s="34" t="s">
        <v>162</v>
      </c>
      <c r="C25" s="14">
        <v>1</v>
      </c>
      <c r="D25" s="14">
        <v>1</v>
      </c>
      <c r="E25" s="14">
        <v>1</v>
      </c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f t="shared" si="0"/>
        <v>20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f t="shared" si="1"/>
        <v>5</v>
      </c>
      <c r="AD25" s="14">
        <v>2</v>
      </c>
      <c r="AE25" s="14">
        <v>2</v>
      </c>
      <c r="AF25" s="14">
        <v>2</v>
      </c>
      <c r="AG25" s="14">
        <v>2</v>
      </c>
      <c r="AH25" s="14">
        <v>2</v>
      </c>
      <c r="AI25" s="14">
        <f t="shared" si="5"/>
        <v>10</v>
      </c>
      <c r="AJ25" s="14">
        <f t="shared" si="6"/>
        <v>35</v>
      </c>
      <c r="AK25" s="46">
        <f t="shared" si="2"/>
        <v>100</v>
      </c>
      <c r="AL25" s="37">
        <f t="shared" si="3"/>
        <v>1</v>
      </c>
      <c r="AM25" s="37" t="str">
        <f t="shared" si="4"/>
        <v xml:space="preserve"> </v>
      </c>
    </row>
    <row r="26" spans="1:41" ht="21.9" customHeight="1" x14ac:dyDescent="0.3">
      <c r="A26" s="14">
        <v>16</v>
      </c>
      <c r="B26" s="34" t="s">
        <v>163</v>
      </c>
      <c r="C26" s="14">
        <v>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f t="shared" si="0"/>
        <v>20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f t="shared" si="1"/>
        <v>5</v>
      </c>
      <c r="AD26" s="14">
        <v>2</v>
      </c>
      <c r="AE26" s="14">
        <v>2</v>
      </c>
      <c r="AF26" s="14">
        <v>2</v>
      </c>
      <c r="AG26" s="14">
        <v>2</v>
      </c>
      <c r="AH26" s="14">
        <v>2</v>
      </c>
      <c r="AI26" s="14">
        <f t="shared" si="5"/>
        <v>10</v>
      </c>
      <c r="AJ26" s="14">
        <f t="shared" si="6"/>
        <v>35</v>
      </c>
      <c r="AK26" s="46">
        <f t="shared" si="2"/>
        <v>100</v>
      </c>
      <c r="AL26" s="37">
        <f t="shared" si="3"/>
        <v>1</v>
      </c>
      <c r="AM26" s="37" t="str">
        <f t="shared" si="4"/>
        <v xml:space="preserve"> </v>
      </c>
    </row>
    <row r="27" spans="1:41" ht="21.9" customHeight="1" x14ac:dyDescent="0.3">
      <c r="A27" s="14">
        <v>17</v>
      </c>
      <c r="B27" s="34" t="s">
        <v>166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f t="shared" si="0"/>
        <v>20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f t="shared" si="1"/>
        <v>5</v>
      </c>
      <c r="AD27" s="14">
        <v>2</v>
      </c>
      <c r="AE27" s="14">
        <v>2</v>
      </c>
      <c r="AF27" s="14">
        <v>2</v>
      </c>
      <c r="AG27" s="14">
        <v>2</v>
      </c>
      <c r="AH27" s="14">
        <v>2</v>
      </c>
      <c r="AI27" s="14">
        <f t="shared" si="5"/>
        <v>10</v>
      </c>
      <c r="AJ27" s="14">
        <f t="shared" si="6"/>
        <v>35</v>
      </c>
      <c r="AK27" s="46">
        <f t="shared" si="2"/>
        <v>100</v>
      </c>
      <c r="AL27" s="37">
        <f t="shared" si="3"/>
        <v>1</v>
      </c>
      <c r="AM27" s="37" t="str">
        <f t="shared" si="4"/>
        <v xml:space="preserve"> </v>
      </c>
    </row>
    <row r="28" spans="1:41" ht="21.9" customHeight="1" x14ac:dyDescent="0.3">
      <c r="A28" s="14">
        <v>18</v>
      </c>
      <c r="B28" s="34" t="s">
        <v>135</v>
      </c>
      <c r="C28" s="14">
        <v>1</v>
      </c>
      <c r="D28" s="14">
        <v>1</v>
      </c>
      <c r="E28" s="14">
        <v>1</v>
      </c>
      <c r="F28" s="14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f t="shared" si="0"/>
        <v>20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f t="shared" si="1"/>
        <v>5</v>
      </c>
      <c r="AD28" s="14">
        <v>2</v>
      </c>
      <c r="AE28" s="14">
        <v>2</v>
      </c>
      <c r="AF28" s="14">
        <v>2</v>
      </c>
      <c r="AG28" s="14">
        <v>2</v>
      </c>
      <c r="AH28" s="14">
        <v>2</v>
      </c>
      <c r="AI28" s="14">
        <f t="shared" si="5"/>
        <v>10</v>
      </c>
      <c r="AJ28" s="14">
        <f t="shared" si="6"/>
        <v>35</v>
      </c>
      <c r="AK28" s="46">
        <f t="shared" si="2"/>
        <v>100</v>
      </c>
      <c r="AL28" s="37">
        <f t="shared" si="3"/>
        <v>1</v>
      </c>
      <c r="AM28" s="37" t="str">
        <f t="shared" si="4"/>
        <v xml:space="preserve"> </v>
      </c>
    </row>
    <row r="29" spans="1:41" ht="21.9" customHeight="1" x14ac:dyDescent="0.3">
      <c r="A29" s="14">
        <v>19</v>
      </c>
      <c r="B29" s="35" t="s">
        <v>136</v>
      </c>
      <c r="C29" s="14">
        <v>1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f t="shared" si="0"/>
        <v>20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f t="shared" si="1"/>
        <v>5</v>
      </c>
      <c r="AD29" s="14">
        <v>2</v>
      </c>
      <c r="AE29" s="14">
        <v>2</v>
      </c>
      <c r="AF29" s="14">
        <v>2</v>
      </c>
      <c r="AG29" s="14">
        <v>2</v>
      </c>
      <c r="AH29" s="14">
        <v>2</v>
      </c>
      <c r="AI29" s="14">
        <f t="shared" si="5"/>
        <v>10</v>
      </c>
      <c r="AJ29" s="14">
        <f t="shared" si="6"/>
        <v>35</v>
      </c>
      <c r="AK29" s="46">
        <f t="shared" si="2"/>
        <v>100</v>
      </c>
      <c r="AL29" s="37">
        <f t="shared" si="3"/>
        <v>1</v>
      </c>
      <c r="AM29" s="37" t="str">
        <f t="shared" si="4"/>
        <v xml:space="preserve"> </v>
      </c>
    </row>
    <row r="30" spans="1:41" ht="21.9" customHeight="1" x14ac:dyDescent="0.3">
      <c r="A30" s="14">
        <v>20</v>
      </c>
      <c r="B30" s="35" t="s">
        <v>168</v>
      </c>
      <c r="C30" s="14">
        <v>1</v>
      </c>
      <c r="D30" s="14">
        <v>1</v>
      </c>
      <c r="E30" s="14">
        <v>1</v>
      </c>
      <c r="F30" s="14">
        <v>1</v>
      </c>
      <c r="G30" s="14">
        <v>1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f t="shared" si="0"/>
        <v>20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f t="shared" si="1"/>
        <v>5</v>
      </c>
      <c r="AD30" s="14">
        <v>2</v>
      </c>
      <c r="AE30" s="14">
        <v>2</v>
      </c>
      <c r="AF30" s="14">
        <v>2</v>
      </c>
      <c r="AG30" s="14">
        <v>2</v>
      </c>
      <c r="AH30" s="14">
        <v>2</v>
      </c>
      <c r="AI30" s="14">
        <f t="shared" si="5"/>
        <v>10</v>
      </c>
      <c r="AJ30" s="14">
        <f t="shared" si="6"/>
        <v>35</v>
      </c>
      <c r="AK30" s="46">
        <f t="shared" si="2"/>
        <v>100</v>
      </c>
      <c r="AL30" s="37">
        <f t="shared" si="3"/>
        <v>1</v>
      </c>
      <c r="AM30" s="37" t="str">
        <f t="shared" si="4"/>
        <v xml:space="preserve"> </v>
      </c>
    </row>
    <row r="31" spans="1:41" ht="21.9" customHeight="1" x14ac:dyDescent="0.3">
      <c r="A31" s="14">
        <v>21</v>
      </c>
      <c r="B31" s="36" t="s">
        <v>185</v>
      </c>
      <c r="C31" s="14">
        <v>1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f t="shared" si="0"/>
        <v>20</v>
      </c>
      <c r="X31" s="14">
        <v>1</v>
      </c>
      <c r="Y31" s="14">
        <v>1</v>
      </c>
      <c r="Z31" s="14">
        <v>1</v>
      </c>
      <c r="AA31" s="14">
        <v>1</v>
      </c>
      <c r="AB31" s="14">
        <v>1</v>
      </c>
      <c r="AC31" s="14">
        <f t="shared" si="1"/>
        <v>5</v>
      </c>
      <c r="AD31" s="14">
        <v>2</v>
      </c>
      <c r="AE31" s="14">
        <v>2</v>
      </c>
      <c r="AF31" s="14">
        <v>2</v>
      </c>
      <c r="AG31" s="14">
        <v>2</v>
      </c>
      <c r="AH31" s="14">
        <v>2</v>
      </c>
      <c r="AI31" s="14">
        <f t="shared" si="5"/>
        <v>10</v>
      </c>
      <c r="AJ31" s="14">
        <f t="shared" si="6"/>
        <v>35</v>
      </c>
      <c r="AK31" s="46">
        <f t="shared" si="2"/>
        <v>100</v>
      </c>
      <c r="AL31" s="37">
        <f t="shared" si="3"/>
        <v>1</v>
      </c>
      <c r="AM31" s="37" t="str">
        <f t="shared" si="4"/>
        <v xml:space="preserve"> </v>
      </c>
    </row>
    <row r="32" spans="1:41" ht="21.9" customHeight="1" x14ac:dyDescent="0.3">
      <c r="A32" s="14">
        <v>22</v>
      </c>
      <c r="B32" s="35" t="s">
        <v>170</v>
      </c>
      <c r="C32" s="14">
        <v>1</v>
      </c>
      <c r="D32" s="14">
        <v>1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f t="shared" si="0"/>
        <v>20</v>
      </c>
      <c r="X32" s="14">
        <v>1</v>
      </c>
      <c r="Y32" s="14">
        <v>1</v>
      </c>
      <c r="Z32" s="14">
        <v>1</v>
      </c>
      <c r="AA32" s="14">
        <v>1</v>
      </c>
      <c r="AB32" s="14">
        <v>1</v>
      </c>
      <c r="AC32" s="14">
        <f t="shared" si="1"/>
        <v>5</v>
      </c>
      <c r="AD32" s="14">
        <v>2</v>
      </c>
      <c r="AE32" s="14">
        <v>2</v>
      </c>
      <c r="AF32" s="14">
        <v>2</v>
      </c>
      <c r="AG32" s="14">
        <v>2</v>
      </c>
      <c r="AH32" s="14">
        <v>2</v>
      </c>
      <c r="AI32" s="14">
        <f t="shared" si="5"/>
        <v>10</v>
      </c>
      <c r="AJ32" s="14">
        <f t="shared" si="6"/>
        <v>35</v>
      </c>
      <c r="AK32" s="46">
        <f t="shared" si="2"/>
        <v>100</v>
      </c>
      <c r="AL32" s="37">
        <f t="shared" si="3"/>
        <v>1</v>
      </c>
      <c r="AM32" s="37" t="str">
        <f t="shared" si="4"/>
        <v xml:space="preserve"> </v>
      </c>
    </row>
    <row r="33" spans="1:39" ht="21.9" customHeight="1" x14ac:dyDescent="0.3">
      <c r="A33" s="14">
        <v>23</v>
      </c>
      <c r="B33" s="34" t="s">
        <v>138</v>
      </c>
      <c r="C33" s="14">
        <v>1</v>
      </c>
      <c r="D33" s="14">
        <v>1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f t="shared" si="0"/>
        <v>20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f t="shared" si="1"/>
        <v>5</v>
      </c>
      <c r="AD33" s="14">
        <v>2</v>
      </c>
      <c r="AE33" s="14">
        <v>2</v>
      </c>
      <c r="AF33" s="14">
        <v>2</v>
      </c>
      <c r="AG33" s="14">
        <v>2</v>
      </c>
      <c r="AH33" s="14">
        <v>2</v>
      </c>
      <c r="AI33" s="14">
        <f t="shared" si="5"/>
        <v>10</v>
      </c>
      <c r="AJ33" s="14">
        <f t="shared" si="6"/>
        <v>35</v>
      </c>
      <c r="AK33" s="46">
        <f t="shared" si="2"/>
        <v>100</v>
      </c>
      <c r="AL33" s="37">
        <f t="shared" si="3"/>
        <v>1</v>
      </c>
      <c r="AM33" s="37" t="str">
        <f t="shared" si="4"/>
        <v xml:space="preserve"> </v>
      </c>
    </row>
    <row r="34" spans="1:39" ht="21.9" customHeight="1" x14ac:dyDescent="0.3">
      <c r="A34" s="14">
        <v>24</v>
      </c>
      <c r="B34" s="35" t="s">
        <v>139</v>
      </c>
      <c r="C34" s="14">
        <v>1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>
        <v>1</v>
      </c>
      <c r="K34" s="14">
        <v>1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f t="shared" si="0"/>
        <v>20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f t="shared" si="1"/>
        <v>5</v>
      </c>
      <c r="AD34" s="14">
        <v>2</v>
      </c>
      <c r="AE34" s="14">
        <v>2</v>
      </c>
      <c r="AF34" s="14">
        <v>2</v>
      </c>
      <c r="AG34" s="14">
        <v>2</v>
      </c>
      <c r="AH34" s="14">
        <v>2</v>
      </c>
      <c r="AI34" s="14">
        <f t="shared" si="5"/>
        <v>10</v>
      </c>
      <c r="AJ34" s="14">
        <f t="shared" si="6"/>
        <v>35</v>
      </c>
      <c r="AK34" s="46">
        <f t="shared" si="2"/>
        <v>100</v>
      </c>
      <c r="AL34" s="37">
        <f t="shared" si="3"/>
        <v>1</v>
      </c>
      <c r="AM34" s="37" t="str">
        <f t="shared" si="4"/>
        <v xml:space="preserve"> </v>
      </c>
    </row>
    <row r="35" spans="1:39" ht="21.9" customHeight="1" x14ac:dyDescent="0.3">
      <c r="A35" s="14">
        <v>25</v>
      </c>
      <c r="B35" s="35" t="s">
        <v>140</v>
      </c>
      <c r="C35" s="14">
        <v>1</v>
      </c>
      <c r="D35" s="1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f t="shared" si="0"/>
        <v>20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f t="shared" si="1"/>
        <v>5</v>
      </c>
      <c r="AD35" s="14">
        <v>2</v>
      </c>
      <c r="AE35" s="14">
        <v>2</v>
      </c>
      <c r="AF35" s="14">
        <v>2</v>
      </c>
      <c r="AG35" s="14">
        <v>2</v>
      </c>
      <c r="AH35" s="14">
        <v>2</v>
      </c>
      <c r="AI35" s="14">
        <f t="shared" si="5"/>
        <v>10</v>
      </c>
      <c r="AJ35" s="14">
        <f t="shared" si="6"/>
        <v>35</v>
      </c>
      <c r="AK35" s="46">
        <f t="shared" si="2"/>
        <v>100</v>
      </c>
      <c r="AL35" s="37"/>
      <c r="AM35" s="37" t="str">
        <f t="shared" si="4"/>
        <v xml:space="preserve"> </v>
      </c>
    </row>
    <row r="36" spans="1:39" ht="21.9" customHeight="1" x14ac:dyDescent="0.3">
      <c r="A36" s="14">
        <v>26</v>
      </c>
      <c r="B36" s="35" t="s">
        <v>141</v>
      </c>
      <c r="C36" s="14">
        <v>1</v>
      </c>
      <c r="D36" s="14">
        <v>1</v>
      </c>
      <c r="E36" s="14">
        <v>1</v>
      </c>
      <c r="F36" s="14">
        <v>1</v>
      </c>
      <c r="G36" s="14">
        <v>1</v>
      </c>
      <c r="H36" s="14">
        <v>1</v>
      </c>
      <c r="I36" s="14">
        <v>1</v>
      </c>
      <c r="J36" s="14">
        <v>1</v>
      </c>
      <c r="K36" s="14">
        <v>1</v>
      </c>
      <c r="L36" s="14">
        <v>1</v>
      </c>
      <c r="M36" s="14">
        <v>1</v>
      </c>
      <c r="N36" s="14">
        <v>1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f t="shared" si="0"/>
        <v>20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f t="shared" si="1"/>
        <v>5</v>
      </c>
      <c r="AD36" s="14">
        <v>2</v>
      </c>
      <c r="AE36" s="14">
        <v>2</v>
      </c>
      <c r="AF36" s="14">
        <v>2</v>
      </c>
      <c r="AG36" s="14">
        <v>2</v>
      </c>
      <c r="AH36" s="14">
        <v>2</v>
      </c>
      <c r="AI36" s="14">
        <f t="shared" si="5"/>
        <v>10</v>
      </c>
      <c r="AJ36" s="14">
        <f t="shared" si="6"/>
        <v>35</v>
      </c>
      <c r="AK36" s="46">
        <f t="shared" si="2"/>
        <v>100</v>
      </c>
      <c r="AL36" s="37"/>
      <c r="AM36" s="37" t="str">
        <f t="shared" si="4"/>
        <v xml:space="preserve"> </v>
      </c>
    </row>
    <row r="37" spans="1:39" ht="21.9" customHeight="1" x14ac:dyDescent="0.3">
      <c r="A37" s="14">
        <v>27</v>
      </c>
      <c r="B37" s="34" t="s">
        <v>143</v>
      </c>
      <c r="C37" s="14">
        <v>1</v>
      </c>
      <c r="D37" s="14">
        <v>1</v>
      </c>
      <c r="E37" s="14">
        <v>1</v>
      </c>
      <c r="F37" s="14">
        <v>1</v>
      </c>
      <c r="G37" s="14">
        <v>1</v>
      </c>
      <c r="H37" s="14">
        <v>1</v>
      </c>
      <c r="I37" s="14">
        <v>1</v>
      </c>
      <c r="J37" s="14">
        <v>1</v>
      </c>
      <c r="K37" s="14">
        <v>1</v>
      </c>
      <c r="L37" s="14">
        <v>1</v>
      </c>
      <c r="M37" s="14">
        <v>1</v>
      </c>
      <c r="N37" s="14">
        <v>1</v>
      </c>
      <c r="O37" s="14">
        <v>1</v>
      </c>
      <c r="P37" s="14">
        <v>1</v>
      </c>
      <c r="Q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W37" s="14">
        <f t="shared" si="0"/>
        <v>20</v>
      </c>
      <c r="X37" s="14">
        <v>1</v>
      </c>
      <c r="Y37" s="14">
        <v>1</v>
      </c>
      <c r="Z37" s="14">
        <v>1</v>
      </c>
      <c r="AA37" s="14">
        <v>1</v>
      </c>
      <c r="AB37" s="14">
        <v>1</v>
      </c>
      <c r="AC37" s="14">
        <f t="shared" si="1"/>
        <v>5</v>
      </c>
      <c r="AD37" s="14">
        <v>2</v>
      </c>
      <c r="AE37" s="14">
        <v>2</v>
      </c>
      <c r="AF37" s="14">
        <v>2</v>
      </c>
      <c r="AG37" s="14">
        <v>2</v>
      </c>
      <c r="AH37" s="14">
        <v>2</v>
      </c>
      <c r="AI37" s="14">
        <f t="shared" si="5"/>
        <v>10</v>
      </c>
      <c r="AJ37" s="14">
        <f t="shared" si="6"/>
        <v>35</v>
      </c>
      <c r="AK37" s="46">
        <f t="shared" si="2"/>
        <v>100</v>
      </c>
      <c r="AL37" s="37"/>
      <c r="AM37" s="37" t="str">
        <f t="shared" si="4"/>
        <v xml:space="preserve"> </v>
      </c>
    </row>
    <row r="38" spans="1:39" ht="21.9" customHeight="1" x14ac:dyDescent="0.3">
      <c r="A38" s="14">
        <v>28</v>
      </c>
      <c r="B38" s="35" t="s">
        <v>144</v>
      </c>
      <c r="C38" s="14">
        <v>1</v>
      </c>
      <c r="D38" s="14">
        <v>1</v>
      </c>
      <c r="E38" s="14">
        <v>1</v>
      </c>
      <c r="F38" s="14">
        <v>1</v>
      </c>
      <c r="G38" s="14">
        <v>1</v>
      </c>
      <c r="H38" s="14">
        <v>1</v>
      </c>
      <c r="I38" s="14">
        <v>1</v>
      </c>
      <c r="J38" s="14">
        <v>1</v>
      </c>
      <c r="K38" s="14">
        <v>1</v>
      </c>
      <c r="L38" s="14">
        <v>1</v>
      </c>
      <c r="M38" s="14">
        <v>1</v>
      </c>
      <c r="N38" s="14">
        <v>1</v>
      </c>
      <c r="O38" s="14">
        <v>1</v>
      </c>
      <c r="P38" s="14">
        <v>1</v>
      </c>
      <c r="Q38" s="14">
        <v>1</v>
      </c>
      <c r="R38" s="14">
        <v>1</v>
      </c>
      <c r="S38" s="14">
        <v>1</v>
      </c>
      <c r="T38" s="14">
        <v>1</v>
      </c>
      <c r="U38" s="14">
        <v>1</v>
      </c>
      <c r="V38" s="14">
        <v>1</v>
      </c>
      <c r="W38" s="14">
        <f t="shared" si="0"/>
        <v>20</v>
      </c>
      <c r="X38" s="14">
        <v>1</v>
      </c>
      <c r="Y38" s="14">
        <v>1</v>
      </c>
      <c r="Z38" s="14">
        <v>1</v>
      </c>
      <c r="AA38" s="14">
        <v>1</v>
      </c>
      <c r="AB38" s="14">
        <v>1</v>
      </c>
      <c r="AC38" s="14">
        <f t="shared" si="1"/>
        <v>5</v>
      </c>
      <c r="AD38" s="14">
        <v>2</v>
      </c>
      <c r="AE38" s="14">
        <v>2</v>
      </c>
      <c r="AF38" s="14">
        <v>2</v>
      </c>
      <c r="AG38" s="14">
        <v>2</v>
      </c>
      <c r="AH38" s="14">
        <v>2</v>
      </c>
      <c r="AI38" s="14">
        <f t="shared" si="5"/>
        <v>10</v>
      </c>
      <c r="AJ38" s="14">
        <f t="shared" si="6"/>
        <v>35</v>
      </c>
      <c r="AK38" s="46">
        <f t="shared" si="2"/>
        <v>100</v>
      </c>
      <c r="AL38" s="37"/>
      <c r="AM38" s="37" t="str">
        <f t="shared" si="4"/>
        <v xml:space="preserve"> </v>
      </c>
    </row>
    <row r="39" spans="1:39" ht="21.9" customHeight="1" x14ac:dyDescent="0.3">
      <c r="A39" s="14">
        <v>29</v>
      </c>
      <c r="B39" s="35" t="s">
        <v>174</v>
      </c>
      <c r="C39" s="14">
        <v>1</v>
      </c>
      <c r="D39" s="14">
        <v>1</v>
      </c>
      <c r="E39" s="14">
        <v>1</v>
      </c>
      <c r="F39" s="14">
        <v>1</v>
      </c>
      <c r="G39" s="14">
        <v>1</v>
      </c>
      <c r="H39" s="14">
        <v>1</v>
      </c>
      <c r="I39" s="14">
        <v>1</v>
      </c>
      <c r="J39" s="14">
        <v>1</v>
      </c>
      <c r="K39" s="14">
        <v>1</v>
      </c>
      <c r="L39" s="14">
        <v>1</v>
      </c>
      <c r="M39" s="14">
        <v>1</v>
      </c>
      <c r="N39" s="14">
        <v>1</v>
      </c>
      <c r="O39" s="14">
        <v>1</v>
      </c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f t="shared" si="0"/>
        <v>20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f t="shared" si="1"/>
        <v>5</v>
      </c>
      <c r="AD39" s="14">
        <v>2</v>
      </c>
      <c r="AE39" s="14">
        <v>2</v>
      </c>
      <c r="AF39" s="14">
        <v>2</v>
      </c>
      <c r="AG39" s="14">
        <v>2</v>
      </c>
      <c r="AH39" s="14">
        <v>2</v>
      </c>
      <c r="AI39" s="14">
        <f t="shared" si="5"/>
        <v>10</v>
      </c>
      <c r="AJ39" s="14">
        <f t="shared" si="6"/>
        <v>35</v>
      </c>
      <c r="AK39" s="46">
        <f t="shared" si="2"/>
        <v>100</v>
      </c>
      <c r="AL39" s="37"/>
      <c r="AM39" s="37" t="str">
        <f t="shared" si="4"/>
        <v xml:space="preserve"> </v>
      </c>
    </row>
    <row r="40" spans="1:39" ht="21.9" customHeight="1" x14ac:dyDescent="0.3">
      <c r="A40" s="14">
        <v>30</v>
      </c>
      <c r="B40" s="35" t="s">
        <v>175</v>
      </c>
      <c r="C40" s="14">
        <v>1</v>
      </c>
      <c r="D40" s="14">
        <v>1</v>
      </c>
      <c r="E40" s="14">
        <v>1</v>
      </c>
      <c r="F40" s="14">
        <v>1</v>
      </c>
      <c r="G40" s="14">
        <v>1</v>
      </c>
      <c r="H40" s="14">
        <v>1</v>
      </c>
      <c r="I40" s="14">
        <v>1</v>
      </c>
      <c r="J40" s="14">
        <v>1</v>
      </c>
      <c r="K40" s="14">
        <v>1</v>
      </c>
      <c r="L40" s="14">
        <v>1</v>
      </c>
      <c r="M40" s="14">
        <v>1</v>
      </c>
      <c r="N40" s="14">
        <v>1</v>
      </c>
      <c r="O40" s="14">
        <v>1</v>
      </c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f t="shared" si="0"/>
        <v>20</v>
      </c>
      <c r="X40" s="14">
        <v>1</v>
      </c>
      <c r="Y40" s="14">
        <v>1</v>
      </c>
      <c r="Z40" s="14">
        <v>1</v>
      </c>
      <c r="AA40" s="14">
        <v>1</v>
      </c>
      <c r="AB40" s="14">
        <v>1</v>
      </c>
      <c r="AC40" s="14">
        <f t="shared" si="1"/>
        <v>5</v>
      </c>
      <c r="AD40" s="14">
        <v>2</v>
      </c>
      <c r="AE40" s="14">
        <v>2</v>
      </c>
      <c r="AF40" s="14">
        <v>2</v>
      </c>
      <c r="AG40" s="14">
        <v>2</v>
      </c>
      <c r="AH40" s="14">
        <v>2</v>
      </c>
      <c r="AI40" s="14">
        <f t="shared" si="5"/>
        <v>10</v>
      </c>
      <c r="AJ40" s="14">
        <f t="shared" si="6"/>
        <v>35</v>
      </c>
      <c r="AK40" s="46">
        <f t="shared" si="2"/>
        <v>100</v>
      </c>
      <c r="AL40" s="37"/>
      <c r="AM40" s="37" t="str">
        <f t="shared" si="4"/>
        <v xml:space="preserve"> </v>
      </c>
    </row>
    <row r="41" spans="1:39" ht="21.9" customHeight="1" x14ac:dyDescent="0.3">
      <c r="A41" s="14">
        <v>31</v>
      </c>
      <c r="B41" s="48" t="s">
        <v>146</v>
      </c>
      <c r="C41" s="14">
        <v>1</v>
      </c>
      <c r="D41" s="14">
        <v>1</v>
      </c>
      <c r="E41" s="14">
        <v>1</v>
      </c>
      <c r="F41" s="14">
        <v>1</v>
      </c>
      <c r="G41" s="14">
        <v>1</v>
      </c>
      <c r="H41" s="14">
        <v>1</v>
      </c>
      <c r="I41" s="14">
        <v>1</v>
      </c>
      <c r="J41" s="14">
        <v>1</v>
      </c>
      <c r="K41" s="14">
        <v>1</v>
      </c>
      <c r="L41" s="14">
        <v>1</v>
      </c>
      <c r="M41" s="14">
        <v>1</v>
      </c>
      <c r="N41" s="14">
        <v>1</v>
      </c>
      <c r="O41" s="14">
        <v>1</v>
      </c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f t="shared" si="0"/>
        <v>20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f t="shared" si="1"/>
        <v>5</v>
      </c>
      <c r="AD41" s="14">
        <v>2</v>
      </c>
      <c r="AE41" s="14">
        <v>2</v>
      </c>
      <c r="AF41" s="14">
        <v>2</v>
      </c>
      <c r="AG41" s="14">
        <v>2</v>
      </c>
      <c r="AH41" s="14">
        <v>2</v>
      </c>
      <c r="AI41" s="14">
        <f t="shared" si="5"/>
        <v>10</v>
      </c>
      <c r="AJ41" s="14">
        <f t="shared" si="6"/>
        <v>35</v>
      </c>
      <c r="AK41" s="46">
        <f t="shared" si="2"/>
        <v>100</v>
      </c>
      <c r="AL41" s="37"/>
      <c r="AM41" s="37" t="str">
        <f t="shared" si="4"/>
        <v xml:space="preserve"> </v>
      </c>
    </row>
    <row r="42" spans="1:39" ht="21.9" customHeight="1" x14ac:dyDescent="0.3">
      <c r="A42" s="14">
        <v>32</v>
      </c>
      <c r="B42" s="34" t="s">
        <v>176</v>
      </c>
      <c r="C42" s="14">
        <v>1</v>
      </c>
      <c r="D42" s="14">
        <v>1</v>
      </c>
      <c r="E42" s="14">
        <v>1</v>
      </c>
      <c r="F42" s="14">
        <v>1</v>
      </c>
      <c r="G42" s="14">
        <v>1</v>
      </c>
      <c r="H42" s="14">
        <v>1</v>
      </c>
      <c r="I42" s="14">
        <v>1</v>
      </c>
      <c r="J42" s="14">
        <v>1</v>
      </c>
      <c r="K42" s="14">
        <v>1</v>
      </c>
      <c r="L42" s="14">
        <v>1</v>
      </c>
      <c r="M42" s="14">
        <v>1</v>
      </c>
      <c r="N42" s="14">
        <v>1</v>
      </c>
      <c r="O42" s="14">
        <v>1</v>
      </c>
      <c r="P42" s="14">
        <v>1</v>
      </c>
      <c r="Q42" s="14">
        <v>1</v>
      </c>
      <c r="R42" s="14">
        <v>1</v>
      </c>
      <c r="S42" s="14">
        <v>1</v>
      </c>
      <c r="T42" s="14">
        <v>1</v>
      </c>
      <c r="U42" s="14">
        <v>1</v>
      </c>
      <c r="V42" s="14">
        <v>1</v>
      </c>
      <c r="W42" s="14">
        <f t="shared" si="0"/>
        <v>20</v>
      </c>
      <c r="X42" s="14">
        <v>1</v>
      </c>
      <c r="Y42" s="14">
        <v>1</v>
      </c>
      <c r="Z42" s="14">
        <v>1</v>
      </c>
      <c r="AA42" s="14">
        <v>1</v>
      </c>
      <c r="AB42" s="14">
        <v>1</v>
      </c>
      <c r="AC42" s="14">
        <f>SUM(X42:AB42)</f>
        <v>5</v>
      </c>
      <c r="AD42" s="14">
        <v>2</v>
      </c>
      <c r="AE42" s="14">
        <v>2</v>
      </c>
      <c r="AF42" s="14">
        <v>2</v>
      </c>
      <c r="AG42" s="14">
        <v>2</v>
      </c>
      <c r="AH42" s="14">
        <v>2</v>
      </c>
      <c r="AI42" s="14">
        <f t="shared" si="5"/>
        <v>10</v>
      </c>
      <c r="AJ42" s="14">
        <f t="shared" si="6"/>
        <v>35</v>
      </c>
      <c r="AK42" s="46">
        <f t="shared" si="2"/>
        <v>100</v>
      </c>
      <c r="AL42" s="37"/>
      <c r="AM42" s="37" t="str">
        <f t="shared" si="4"/>
        <v xml:space="preserve"> </v>
      </c>
    </row>
    <row r="43" spans="1:39" ht="20.100000000000001" customHeight="1" x14ac:dyDescent="0.3">
      <c r="A43" s="16" t="s">
        <v>36</v>
      </c>
      <c r="B43" s="17"/>
      <c r="C43" s="31">
        <f t="shared" ref="C43:V43" si="7">SUM(C11:C42)</f>
        <v>32</v>
      </c>
      <c r="D43" s="31">
        <f t="shared" si="7"/>
        <v>32</v>
      </c>
      <c r="E43" s="31">
        <f t="shared" si="7"/>
        <v>32</v>
      </c>
      <c r="F43" s="31">
        <f t="shared" si="7"/>
        <v>32</v>
      </c>
      <c r="G43" s="31">
        <f t="shared" si="7"/>
        <v>32</v>
      </c>
      <c r="H43" s="31">
        <f t="shared" si="7"/>
        <v>32</v>
      </c>
      <c r="I43" s="31">
        <f t="shared" si="7"/>
        <v>32</v>
      </c>
      <c r="J43" s="31">
        <f t="shared" si="7"/>
        <v>32</v>
      </c>
      <c r="K43" s="31">
        <f t="shared" si="7"/>
        <v>32</v>
      </c>
      <c r="L43" s="31">
        <f t="shared" si="7"/>
        <v>32</v>
      </c>
      <c r="M43" s="31">
        <f t="shared" si="7"/>
        <v>32</v>
      </c>
      <c r="N43" s="31">
        <f t="shared" si="7"/>
        <v>32</v>
      </c>
      <c r="O43" s="31">
        <f t="shared" si="7"/>
        <v>32</v>
      </c>
      <c r="P43" s="31">
        <f t="shared" si="7"/>
        <v>32</v>
      </c>
      <c r="Q43" s="31">
        <f t="shared" si="7"/>
        <v>32</v>
      </c>
      <c r="R43" s="31">
        <f t="shared" si="7"/>
        <v>32</v>
      </c>
      <c r="S43" s="31">
        <f t="shared" si="7"/>
        <v>32</v>
      </c>
      <c r="T43" s="31">
        <f t="shared" si="7"/>
        <v>32</v>
      </c>
      <c r="U43" s="31">
        <f t="shared" si="7"/>
        <v>32</v>
      </c>
      <c r="V43" s="31">
        <f t="shared" si="7"/>
        <v>32</v>
      </c>
      <c r="W43" s="65"/>
      <c r="X43" s="31">
        <f>SUM(X11:X42)</f>
        <v>32</v>
      </c>
      <c r="Y43" s="31">
        <f>SUM(Y11:Y42)</f>
        <v>32</v>
      </c>
      <c r="Z43" s="31">
        <f>SUM(Z11:Z42)</f>
        <v>32</v>
      </c>
      <c r="AA43" s="31">
        <f>SUM(AA11:AA42)</f>
        <v>32</v>
      </c>
      <c r="AB43" s="31">
        <f>SUM(AB11:AB42)</f>
        <v>32</v>
      </c>
      <c r="AC43" s="67"/>
      <c r="AD43" s="31">
        <f>SUM(AD11:AD42)</f>
        <v>64</v>
      </c>
      <c r="AE43" s="31">
        <f>SUM(AE11:AE42)</f>
        <v>64</v>
      </c>
      <c r="AF43" s="31">
        <f>SUM(AF11:AF42)</f>
        <v>64</v>
      </c>
      <c r="AG43" s="31">
        <f>SUM(AG11:AG42)</f>
        <v>64</v>
      </c>
      <c r="AH43" s="31">
        <f>SUM(AH11:AH42)</f>
        <v>64</v>
      </c>
      <c r="AI43" s="65"/>
      <c r="AJ43" s="69">
        <f>SUM(AJ11:AJ42)</f>
        <v>1120</v>
      </c>
      <c r="AK43" s="71">
        <f>SUM(AK11:AK42)</f>
        <v>3200</v>
      </c>
      <c r="AL43" s="60">
        <f>SUM(AL11:AL42)</f>
        <v>24</v>
      </c>
      <c r="AM43" s="60">
        <f>SUM(AM11:AM42)</f>
        <v>0</v>
      </c>
    </row>
    <row r="44" spans="1:39" ht="20.100000000000001" customHeight="1" x14ac:dyDescent="0.3">
      <c r="A44" s="18" t="s">
        <v>37</v>
      </c>
      <c r="B44" s="17"/>
      <c r="C44" s="33">
        <f>C43*100/32</f>
        <v>100</v>
      </c>
      <c r="D44" s="33">
        <f t="shared" ref="D44:V44" si="8">D43*100/32</f>
        <v>100</v>
      </c>
      <c r="E44" s="33">
        <f t="shared" si="8"/>
        <v>100</v>
      </c>
      <c r="F44" s="33">
        <f t="shared" si="8"/>
        <v>100</v>
      </c>
      <c r="G44" s="33">
        <f t="shared" si="8"/>
        <v>100</v>
      </c>
      <c r="H44" s="33">
        <f t="shared" si="8"/>
        <v>100</v>
      </c>
      <c r="I44" s="33">
        <f t="shared" si="8"/>
        <v>100</v>
      </c>
      <c r="J44" s="33">
        <f t="shared" si="8"/>
        <v>100</v>
      </c>
      <c r="K44" s="33">
        <f t="shared" si="8"/>
        <v>100</v>
      </c>
      <c r="L44" s="33">
        <f t="shared" si="8"/>
        <v>100</v>
      </c>
      <c r="M44" s="33">
        <f t="shared" si="8"/>
        <v>100</v>
      </c>
      <c r="N44" s="33">
        <f t="shared" si="8"/>
        <v>100</v>
      </c>
      <c r="O44" s="33">
        <f t="shared" si="8"/>
        <v>100</v>
      </c>
      <c r="P44" s="33">
        <f t="shared" si="8"/>
        <v>100</v>
      </c>
      <c r="Q44" s="33">
        <f t="shared" si="8"/>
        <v>100</v>
      </c>
      <c r="R44" s="33">
        <f t="shared" si="8"/>
        <v>100</v>
      </c>
      <c r="S44" s="33">
        <f t="shared" si="8"/>
        <v>100</v>
      </c>
      <c r="T44" s="33">
        <f t="shared" si="8"/>
        <v>100</v>
      </c>
      <c r="U44" s="33">
        <f t="shared" si="8"/>
        <v>100</v>
      </c>
      <c r="V44" s="33">
        <f t="shared" si="8"/>
        <v>100</v>
      </c>
      <c r="W44" s="66"/>
      <c r="X44" s="33">
        <f>X43*100/32</f>
        <v>100</v>
      </c>
      <c r="Y44" s="33">
        <f>Y43*100/32</f>
        <v>100</v>
      </c>
      <c r="Z44" s="33">
        <f t="shared" ref="Z44:AA44" si="9">Z43*100/32</f>
        <v>100</v>
      </c>
      <c r="AA44" s="33">
        <f t="shared" si="9"/>
        <v>100</v>
      </c>
      <c r="AB44" s="33">
        <f>AB43*100/32</f>
        <v>100</v>
      </c>
      <c r="AC44" s="68"/>
      <c r="AD44" s="33">
        <f>AD43*100/32</f>
        <v>200</v>
      </c>
      <c r="AE44" s="33">
        <f t="shared" ref="AE44:AH44" si="10">AE43*100/32</f>
        <v>200</v>
      </c>
      <c r="AF44" s="33">
        <f t="shared" si="10"/>
        <v>200</v>
      </c>
      <c r="AG44" s="33">
        <f t="shared" si="10"/>
        <v>200</v>
      </c>
      <c r="AH44" s="33">
        <f t="shared" si="10"/>
        <v>200</v>
      </c>
      <c r="AI44" s="66"/>
      <c r="AJ44" s="70"/>
      <c r="AK44" s="70"/>
      <c r="AL44" s="61"/>
      <c r="AM44" s="61"/>
    </row>
    <row r="46" spans="1:39" ht="20.100000000000001" customHeight="1" x14ac:dyDescent="0.3">
      <c r="A46" s="20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3"/>
      <c r="AK46" s="23"/>
      <c r="AL46" s="24"/>
    </row>
    <row r="47" spans="1:39" ht="20.100000000000001" customHeight="1" x14ac:dyDescent="0.3">
      <c r="A47" s="25"/>
      <c r="B47" s="26"/>
      <c r="C47" s="39" t="s">
        <v>38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 t="s">
        <v>215</v>
      </c>
      <c r="AF47" s="26"/>
      <c r="AG47" s="26"/>
      <c r="AH47" s="26"/>
      <c r="AI47" s="26"/>
      <c r="AJ47" s="26"/>
      <c r="AK47" s="26"/>
      <c r="AL47" s="25"/>
    </row>
    <row r="48" spans="1:39" ht="20.100000000000001" customHeight="1" x14ac:dyDescent="0.3">
      <c r="A48" s="25"/>
      <c r="B48" s="26"/>
      <c r="C48" s="26" t="s">
        <v>39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45"/>
      <c r="X48" s="45"/>
      <c r="Y48" s="45"/>
      <c r="Z48" s="45"/>
      <c r="AA48" s="45"/>
      <c r="AB48" s="45"/>
      <c r="AC48" s="45"/>
      <c r="AD48" s="26"/>
      <c r="AE48" s="26" t="s">
        <v>214</v>
      </c>
      <c r="AF48" s="26"/>
      <c r="AG48" s="26"/>
      <c r="AH48" s="26"/>
      <c r="AI48" s="26"/>
      <c r="AJ48" s="26"/>
      <c r="AK48" s="26"/>
      <c r="AL48" s="25"/>
    </row>
    <row r="49" spans="1:38" ht="20.100000000000001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45"/>
      <c r="AD49" s="45"/>
      <c r="AE49" s="45"/>
      <c r="AF49" s="26"/>
      <c r="AG49" s="26"/>
      <c r="AH49" s="26"/>
      <c r="AI49" s="26"/>
      <c r="AJ49" s="26"/>
      <c r="AK49" s="26"/>
      <c r="AL49" s="25"/>
    </row>
    <row r="50" spans="1:38" ht="20.100000000000001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5"/>
    </row>
    <row r="51" spans="1:38" ht="20.100000000000001" customHeight="1" x14ac:dyDescent="0.3">
      <c r="A51" s="25"/>
      <c r="B51" s="26"/>
      <c r="C51" s="28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5"/>
    </row>
    <row r="52" spans="1:38" ht="20.100000000000001" customHeight="1" x14ac:dyDescent="0.3">
      <c r="A52" s="25"/>
      <c r="B52" s="26"/>
      <c r="C52" s="28" t="s">
        <v>40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9"/>
      <c r="X52" s="29"/>
      <c r="Y52" s="29"/>
      <c r="Z52" s="29"/>
      <c r="AA52" s="29"/>
      <c r="AB52" s="29"/>
      <c r="AC52" s="26"/>
      <c r="AD52" s="39"/>
      <c r="AE52" s="29" t="s">
        <v>68</v>
      </c>
      <c r="AF52" s="26"/>
      <c r="AG52" s="26"/>
      <c r="AH52" s="26"/>
      <c r="AI52" s="26"/>
      <c r="AJ52" s="26"/>
      <c r="AK52" s="26"/>
      <c r="AL52" s="25"/>
    </row>
  </sheetData>
  <mergeCells count="17">
    <mergeCell ref="AJ43:AJ44"/>
    <mergeCell ref="AK43:AK44"/>
    <mergeCell ref="AL43:AL44"/>
    <mergeCell ref="AM43:AM44"/>
    <mergeCell ref="AO13:AO14"/>
    <mergeCell ref="A1:AM1"/>
    <mergeCell ref="A2:AM2"/>
    <mergeCell ref="A8:A9"/>
    <mergeCell ref="B8:B9"/>
    <mergeCell ref="C8:V8"/>
    <mergeCell ref="X8:AB8"/>
    <mergeCell ref="AD8:AH8"/>
    <mergeCell ref="AK8:AK9"/>
    <mergeCell ref="AL8:AM8"/>
    <mergeCell ref="W43:W44"/>
    <mergeCell ref="AC43:AC44"/>
    <mergeCell ref="AI43:AI44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4908-4A8D-4AD6-8F1A-054C15C86779}">
  <dimension ref="A1:AO52"/>
  <sheetViews>
    <sheetView tabSelected="1" zoomScale="55" zoomScaleNormal="55" workbookViewId="0">
      <selection activeCell="AO36" sqref="AO36"/>
    </sheetView>
  </sheetViews>
  <sheetFormatPr defaultColWidth="9.109375" defaultRowHeight="13.8" x14ac:dyDescent="0.3"/>
  <cols>
    <col min="1" max="1" width="4.44140625" style="1" customWidth="1"/>
    <col min="2" max="2" width="38.5546875" style="1" customWidth="1"/>
    <col min="3" max="3" width="4.6640625" style="1" customWidth="1"/>
    <col min="4" max="22" width="3.6640625" style="1" customWidth="1"/>
    <col min="23" max="23" width="9.109375" style="13"/>
    <col min="24" max="28" width="4.6640625" style="1" customWidth="1"/>
    <col min="29" max="29" width="9.109375" style="13"/>
    <col min="30" max="34" width="4.6640625" style="1" customWidth="1"/>
    <col min="35" max="36" width="9.109375" style="1"/>
    <col min="37" max="37" width="11.21875" style="1" customWidth="1"/>
    <col min="38" max="40" width="9.109375" style="1"/>
    <col min="41" max="41" width="87.5546875" style="1" bestFit="1" customWidth="1"/>
    <col min="42" max="16384" width="9.109375" style="1"/>
  </cols>
  <sheetData>
    <row r="1" spans="1:41" ht="20.100000000000001" customHeight="1" x14ac:dyDescent="0.3">
      <c r="A1" s="54" t="s">
        <v>212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41" ht="20.100000000000001" customHeight="1" x14ac:dyDescent="0.3">
      <c r="A2" s="55" t="s">
        <v>213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1" ht="20.100000000000001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  <c r="X3" s="10"/>
      <c r="Y3" s="10"/>
      <c r="Z3" s="10"/>
      <c r="AA3" s="10"/>
      <c r="AB3" s="10"/>
      <c r="AC3" s="19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ht="20.100000000000001" customHeight="1" x14ac:dyDescent="0.3">
      <c r="A4" s="2"/>
      <c r="B4" s="9" t="s">
        <v>0</v>
      </c>
      <c r="C4" s="2"/>
      <c r="D4" s="9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  <c r="X4" s="10"/>
      <c r="Y4" s="10"/>
      <c r="Z4" s="10"/>
      <c r="AA4" s="10"/>
      <c r="AB4" s="10"/>
      <c r="AC4" s="19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20.100000000000001" customHeight="1" x14ac:dyDescent="0.3">
      <c r="A5" s="2"/>
      <c r="B5" s="9" t="s">
        <v>2</v>
      </c>
      <c r="C5" s="2"/>
      <c r="D5" s="11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  <c r="X5" s="10"/>
      <c r="Y5" s="10"/>
      <c r="Z5" s="10"/>
      <c r="AA5" s="10"/>
      <c r="AB5" s="10"/>
      <c r="AC5" s="19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1" ht="20.100000000000001" customHeight="1" x14ac:dyDescent="0.3">
      <c r="A6" s="2"/>
      <c r="B6" s="9" t="s">
        <v>3</v>
      </c>
      <c r="C6" s="2"/>
      <c r="D6" s="11" t="s">
        <v>179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  <c r="X6" s="10"/>
      <c r="Y6" s="10"/>
      <c r="Z6" s="10"/>
      <c r="AA6" s="10"/>
      <c r="AB6" s="10"/>
      <c r="AC6" s="19"/>
      <c r="AD6" s="2"/>
      <c r="AE6" s="2"/>
      <c r="AF6" s="2"/>
      <c r="AG6" s="2"/>
      <c r="AH6" s="2"/>
      <c r="AI6" s="2"/>
      <c r="AJ6" s="2"/>
      <c r="AK6" s="2"/>
      <c r="AL6" s="2"/>
      <c r="AM6" s="2"/>
    </row>
    <row r="8" spans="1:41" ht="30" customHeight="1" x14ac:dyDescent="0.3">
      <c r="A8" s="60" t="s">
        <v>4</v>
      </c>
      <c r="B8" s="60" t="s">
        <v>5</v>
      </c>
      <c r="C8" s="62" t="s">
        <v>6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40" t="s">
        <v>7</v>
      </c>
      <c r="X8" s="62" t="s">
        <v>8</v>
      </c>
      <c r="Y8" s="63"/>
      <c r="Z8" s="63"/>
      <c r="AA8" s="63"/>
      <c r="AB8" s="63"/>
      <c r="AC8" s="40" t="s">
        <v>7</v>
      </c>
      <c r="AD8" s="62" t="s">
        <v>42</v>
      </c>
      <c r="AE8" s="63"/>
      <c r="AF8" s="63"/>
      <c r="AG8" s="63"/>
      <c r="AH8" s="64"/>
      <c r="AI8" s="40" t="s">
        <v>7</v>
      </c>
      <c r="AJ8" s="40" t="s">
        <v>9</v>
      </c>
      <c r="AK8" s="56" t="s">
        <v>10</v>
      </c>
      <c r="AL8" s="58" t="s">
        <v>280</v>
      </c>
      <c r="AM8" s="59"/>
    </row>
    <row r="9" spans="1:41" ht="20.100000000000001" customHeight="1" x14ac:dyDescent="0.3">
      <c r="A9" s="61"/>
      <c r="B9" s="61"/>
      <c r="C9" s="30" t="s">
        <v>11</v>
      </c>
      <c r="D9" s="30" t="s">
        <v>12</v>
      </c>
      <c r="E9" s="30" t="s">
        <v>13</v>
      </c>
      <c r="F9" s="30" t="s">
        <v>14</v>
      </c>
      <c r="G9" s="30" t="s">
        <v>15</v>
      </c>
      <c r="H9" s="30" t="s">
        <v>16</v>
      </c>
      <c r="I9" s="30" t="s">
        <v>17</v>
      </c>
      <c r="J9" s="30" t="s">
        <v>18</v>
      </c>
      <c r="K9" s="30" t="s">
        <v>19</v>
      </c>
      <c r="L9" s="30" t="s">
        <v>20</v>
      </c>
      <c r="M9" s="30" t="s">
        <v>21</v>
      </c>
      <c r="N9" s="30" t="s">
        <v>22</v>
      </c>
      <c r="O9" s="30" t="s">
        <v>23</v>
      </c>
      <c r="P9" s="30" t="s">
        <v>24</v>
      </c>
      <c r="Q9" s="30" t="s">
        <v>25</v>
      </c>
      <c r="R9" s="30" t="s">
        <v>26</v>
      </c>
      <c r="S9" s="30" t="s">
        <v>27</v>
      </c>
      <c r="T9" s="30" t="s">
        <v>28</v>
      </c>
      <c r="U9" s="30" t="s">
        <v>29</v>
      </c>
      <c r="V9" s="30" t="s">
        <v>30</v>
      </c>
      <c r="W9" s="5" t="s">
        <v>31</v>
      </c>
      <c r="X9" s="6">
        <v>1</v>
      </c>
      <c r="Y9" s="6">
        <v>2</v>
      </c>
      <c r="Z9" s="6">
        <v>3</v>
      </c>
      <c r="AA9" s="6">
        <v>4</v>
      </c>
      <c r="AB9" s="6">
        <v>5</v>
      </c>
      <c r="AC9" s="5" t="s">
        <v>31</v>
      </c>
      <c r="AD9" s="6">
        <v>1</v>
      </c>
      <c r="AE9" s="6">
        <v>2</v>
      </c>
      <c r="AF9" s="6">
        <v>3</v>
      </c>
      <c r="AG9" s="6">
        <v>4</v>
      </c>
      <c r="AH9" s="6">
        <v>5</v>
      </c>
      <c r="AI9" s="5" t="s">
        <v>32</v>
      </c>
      <c r="AJ9" s="38"/>
      <c r="AK9" s="57"/>
      <c r="AL9" s="7" t="s">
        <v>33</v>
      </c>
      <c r="AM9" s="7" t="s">
        <v>34</v>
      </c>
    </row>
    <row r="10" spans="1:41" ht="6.9" customHeight="1" thickBot="1" x14ac:dyDescent="0.35">
      <c r="A10" s="8"/>
      <c r="B10" s="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15"/>
      <c r="X10" s="8"/>
      <c r="Y10" s="8"/>
      <c r="Z10" s="8"/>
      <c r="AA10" s="8"/>
      <c r="AB10" s="8"/>
      <c r="AC10" s="15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41" ht="21.9" customHeight="1" thickTop="1" x14ac:dyDescent="0.3">
      <c r="A11" s="14">
        <v>1</v>
      </c>
      <c r="B11" s="35" t="s">
        <v>148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f t="shared" ref="W11:W42" si="0">SUM(C11:V11)</f>
        <v>20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f>SUM(X11:AB11)</f>
        <v>5</v>
      </c>
      <c r="AD11" s="14">
        <v>2</v>
      </c>
      <c r="AE11" s="14">
        <v>2</v>
      </c>
      <c r="AF11" s="14">
        <v>2</v>
      </c>
      <c r="AG11" s="14">
        <v>2</v>
      </c>
      <c r="AH11" s="14">
        <v>2</v>
      </c>
      <c r="AI11" s="14">
        <f>SUM(AD11:AH11)*1</f>
        <v>10</v>
      </c>
      <c r="AJ11" s="14">
        <f>SUM(W11,AC11,AI11)</f>
        <v>35</v>
      </c>
      <c r="AK11" s="46">
        <f>AJ11*100/35</f>
        <v>100</v>
      </c>
      <c r="AL11" s="37">
        <f>IF(AK11&gt;70,1," ")</f>
        <v>1</v>
      </c>
      <c r="AM11" s="37" t="str">
        <f>IF(AK11&lt;70,1," ")</f>
        <v xml:space="preserve"> </v>
      </c>
      <c r="AO11" s="41" t="s">
        <v>183</v>
      </c>
    </row>
    <row r="12" spans="1:41" ht="21.9" customHeight="1" x14ac:dyDescent="0.3">
      <c r="A12" s="14">
        <v>2</v>
      </c>
      <c r="B12" s="35" t="s">
        <v>120</v>
      </c>
      <c r="C12" s="14">
        <v>1</v>
      </c>
      <c r="D12" s="14">
        <v>1</v>
      </c>
      <c r="E12" s="14">
        <v>1</v>
      </c>
      <c r="F12" s="14">
        <v>1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f t="shared" si="0"/>
        <v>20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f t="shared" ref="AC12:AC41" si="1">SUM(X12:AB12)</f>
        <v>5</v>
      </c>
      <c r="AD12" s="14">
        <v>2</v>
      </c>
      <c r="AE12" s="14">
        <v>2</v>
      </c>
      <c r="AF12" s="14">
        <v>2</v>
      </c>
      <c r="AG12" s="14">
        <v>2</v>
      </c>
      <c r="AH12" s="14">
        <v>2</v>
      </c>
      <c r="AI12" s="14">
        <f>SUM(AD12:AH12)*1</f>
        <v>10</v>
      </c>
      <c r="AJ12" s="14">
        <f>SUM(W12,AC12,AI12)</f>
        <v>35</v>
      </c>
      <c r="AK12" s="46">
        <f t="shared" ref="AK12:AK42" si="2">AJ12*100/35</f>
        <v>100</v>
      </c>
      <c r="AL12" s="37">
        <f t="shared" ref="AL12:AL34" si="3">IF(AK12&gt;70,1," ")</f>
        <v>1</v>
      </c>
      <c r="AM12" s="37" t="str">
        <f t="shared" ref="AM12:AM42" si="4">IF(AK12&lt;70,1," ")</f>
        <v xml:space="preserve"> </v>
      </c>
      <c r="AO12" s="42" t="s">
        <v>268</v>
      </c>
    </row>
    <row r="13" spans="1:41" ht="21.9" customHeight="1" x14ac:dyDescent="0.3">
      <c r="A13" s="14">
        <v>3</v>
      </c>
      <c r="B13" s="34" t="s">
        <v>152</v>
      </c>
      <c r="C13" s="14">
        <v>1</v>
      </c>
      <c r="D13" s="1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f t="shared" si="0"/>
        <v>20</v>
      </c>
      <c r="X13" s="14">
        <v>1</v>
      </c>
      <c r="Y13" s="14">
        <v>1</v>
      </c>
      <c r="Z13" s="14">
        <v>1</v>
      </c>
      <c r="AA13" s="14">
        <v>1</v>
      </c>
      <c r="AB13" s="14">
        <v>1</v>
      </c>
      <c r="AC13" s="14">
        <f>SUM(X13:AB13)</f>
        <v>5</v>
      </c>
      <c r="AD13" s="14">
        <v>2</v>
      </c>
      <c r="AE13" s="14">
        <v>2</v>
      </c>
      <c r="AF13" s="14">
        <v>2</v>
      </c>
      <c r="AG13" s="14">
        <v>2</v>
      </c>
      <c r="AH13" s="14">
        <v>2</v>
      </c>
      <c r="AI13" s="14">
        <f t="shared" ref="AI13:AI42" si="5">SUM(AD13:AH13)*1</f>
        <v>10</v>
      </c>
      <c r="AJ13" s="14">
        <f t="shared" ref="AJ13:AJ42" si="6">SUM(W13,AC13,AI13)</f>
        <v>35</v>
      </c>
      <c r="AK13" s="46">
        <f t="shared" si="2"/>
        <v>100</v>
      </c>
      <c r="AL13" s="37">
        <f t="shared" si="3"/>
        <v>1</v>
      </c>
      <c r="AM13" s="37" t="str">
        <f t="shared" si="4"/>
        <v xml:space="preserve"> </v>
      </c>
      <c r="AO13" s="53" t="s">
        <v>275</v>
      </c>
    </row>
    <row r="14" spans="1:41" ht="21.9" customHeight="1" x14ac:dyDescent="0.3">
      <c r="A14" s="14">
        <v>4</v>
      </c>
      <c r="B14" s="34" t="s">
        <v>121</v>
      </c>
      <c r="C14" s="14">
        <v>1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f t="shared" si="0"/>
        <v>20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f t="shared" si="1"/>
        <v>5</v>
      </c>
      <c r="AD14" s="14">
        <v>2</v>
      </c>
      <c r="AE14" s="14">
        <v>2</v>
      </c>
      <c r="AF14" s="14">
        <v>2</v>
      </c>
      <c r="AG14" s="14">
        <v>2</v>
      </c>
      <c r="AH14" s="14">
        <v>2</v>
      </c>
      <c r="AI14" s="14">
        <f t="shared" si="5"/>
        <v>10</v>
      </c>
      <c r="AJ14" s="14">
        <f t="shared" si="6"/>
        <v>35</v>
      </c>
      <c r="AK14" s="46">
        <f t="shared" si="2"/>
        <v>100</v>
      </c>
      <c r="AL14" s="37">
        <f t="shared" si="3"/>
        <v>1</v>
      </c>
      <c r="AM14" s="37" t="str">
        <f t="shared" si="4"/>
        <v xml:space="preserve"> </v>
      </c>
      <c r="AO14" s="53"/>
    </row>
    <row r="15" spans="1:41" ht="21.9" customHeight="1" x14ac:dyDescent="0.3">
      <c r="A15" s="14">
        <v>5</v>
      </c>
      <c r="B15" s="35" t="s">
        <v>154</v>
      </c>
      <c r="C15" s="14">
        <v>1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f t="shared" si="0"/>
        <v>20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f t="shared" si="1"/>
        <v>5</v>
      </c>
      <c r="AD15" s="14">
        <v>2</v>
      </c>
      <c r="AE15" s="14">
        <v>2</v>
      </c>
      <c r="AF15" s="14">
        <v>2</v>
      </c>
      <c r="AG15" s="14">
        <v>2</v>
      </c>
      <c r="AH15" s="14">
        <v>2</v>
      </c>
      <c r="AI15" s="14">
        <f t="shared" si="5"/>
        <v>10</v>
      </c>
      <c r="AJ15" s="14">
        <f t="shared" si="6"/>
        <v>35</v>
      </c>
      <c r="AK15" s="46">
        <f t="shared" si="2"/>
        <v>100</v>
      </c>
      <c r="AL15" s="37">
        <f t="shared" si="3"/>
        <v>1</v>
      </c>
      <c r="AM15" s="37" t="str">
        <f t="shared" si="4"/>
        <v xml:space="preserve"> </v>
      </c>
      <c r="AO15" s="50" t="s">
        <v>276</v>
      </c>
    </row>
    <row r="16" spans="1:41" ht="21.9" customHeight="1" x14ac:dyDescent="0.3">
      <c r="A16" s="14">
        <v>6</v>
      </c>
      <c r="B16" s="35" t="s">
        <v>124</v>
      </c>
      <c r="C16" s="14">
        <v>1</v>
      </c>
      <c r="D16" s="14">
        <v>1</v>
      </c>
      <c r="E16" s="14">
        <v>1</v>
      </c>
      <c r="F16" s="14">
        <v>1</v>
      </c>
      <c r="G16" s="14">
        <v>1</v>
      </c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f t="shared" si="0"/>
        <v>20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f t="shared" si="1"/>
        <v>5</v>
      </c>
      <c r="AD16" s="14">
        <v>2</v>
      </c>
      <c r="AE16" s="14">
        <v>2</v>
      </c>
      <c r="AF16" s="14">
        <v>2</v>
      </c>
      <c r="AG16" s="14">
        <v>2</v>
      </c>
      <c r="AH16" s="14">
        <v>2</v>
      </c>
      <c r="AI16" s="14">
        <f t="shared" si="5"/>
        <v>10</v>
      </c>
      <c r="AJ16" s="14">
        <f t="shared" si="6"/>
        <v>35</v>
      </c>
      <c r="AK16" s="46">
        <f t="shared" si="2"/>
        <v>100</v>
      </c>
      <c r="AL16" s="37">
        <f t="shared" si="3"/>
        <v>1</v>
      </c>
      <c r="AM16" s="37" t="str">
        <f t="shared" si="4"/>
        <v xml:space="preserve"> </v>
      </c>
      <c r="AO16" s="51" t="s">
        <v>277</v>
      </c>
    </row>
    <row r="17" spans="1:41" ht="21.9" customHeight="1" x14ac:dyDescent="0.3">
      <c r="A17" s="14">
        <v>7</v>
      </c>
      <c r="B17" s="35" t="s">
        <v>125</v>
      </c>
      <c r="C17" s="14">
        <v>1</v>
      </c>
      <c r="D17" s="1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f t="shared" si="0"/>
        <v>20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f t="shared" si="1"/>
        <v>5</v>
      </c>
      <c r="AD17" s="14">
        <v>2</v>
      </c>
      <c r="AE17" s="14">
        <v>2</v>
      </c>
      <c r="AF17" s="14">
        <v>2</v>
      </c>
      <c r="AG17" s="14">
        <v>2</v>
      </c>
      <c r="AH17" s="14">
        <v>2</v>
      </c>
      <c r="AI17" s="14">
        <f t="shared" si="5"/>
        <v>10</v>
      </c>
      <c r="AJ17" s="14">
        <f t="shared" si="6"/>
        <v>35</v>
      </c>
      <c r="AK17" s="46">
        <f t="shared" si="2"/>
        <v>100</v>
      </c>
      <c r="AL17" s="37">
        <f t="shared" si="3"/>
        <v>1</v>
      </c>
      <c r="AM17" s="37" t="str">
        <f t="shared" si="4"/>
        <v xml:space="preserve"> </v>
      </c>
      <c r="AO17" s="51" t="s">
        <v>278</v>
      </c>
    </row>
    <row r="18" spans="1:41" ht="21.9" customHeight="1" thickBot="1" x14ac:dyDescent="0.35">
      <c r="A18" s="14">
        <v>8</v>
      </c>
      <c r="B18" s="34" t="s">
        <v>126</v>
      </c>
      <c r="C18" s="14">
        <v>1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f t="shared" si="0"/>
        <v>20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f t="shared" si="1"/>
        <v>5</v>
      </c>
      <c r="AD18" s="14">
        <v>2</v>
      </c>
      <c r="AE18" s="14">
        <v>2</v>
      </c>
      <c r="AF18" s="14">
        <v>2</v>
      </c>
      <c r="AG18" s="14">
        <v>2</v>
      </c>
      <c r="AH18" s="14">
        <v>2</v>
      </c>
      <c r="AI18" s="14">
        <f t="shared" si="5"/>
        <v>10</v>
      </c>
      <c r="AJ18" s="14">
        <f t="shared" si="6"/>
        <v>35</v>
      </c>
      <c r="AK18" s="46">
        <f t="shared" si="2"/>
        <v>100</v>
      </c>
      <c r="AL18" s="37">
        <f t="shared" si="3"/>
        <v>1</v>
      </c>
      <c r="AM18" s="37" t="str">
        <f t="shared" si="4"/>
        <v xml:space="preserve"> </v>
      </c>
      <c r="AO18" s="52" t="s">
        <v>279</v>
      </c>
    </row>
    <row r="19" spans="1:41" ht="21.9" customHeight="1" thickTop="1" x14ac:dyDescent="0.3">
      <c r="A19" s="14">
        <v>9</v>
      </c>
      <c r="B19" s="47" t="s">
        <v>273</v>
      </c>
      <c r="C19" s="14"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f t="shared" si="0"/>
        <v>20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f t="shared" si="1"/>
        <v>5</v>
      </c>
      <c r="AD19" s="14">
        <v>2</v>
      </c>
      <c r="AE19" s="14">
        <v>2</v>
      </c>
      <c r="AF19" s="14">
        <v>2</v>
      </c>
      <c r="AG19" s="14">
        <v>2</v>
      </c>
      <c r="AH19" s="14">
        <v>2</v>
      </c>
      <c r="AI19" s="14">
        <f t="shared" si="5"/>
        <v>10</v>
      </c>
      <c r="AJ19" s="14">
        <f t="shared" si="6"/>
        <v>35</v>
      </c>
      <c r="AK19" s="46">
        <f t="shared" si="2"/>
        <v>100</v>
      </c>
      <c r="AL19" s="37">
        <f t="shared" si="3"/>
        <v>1</v>
      </c>
      <c r="AM19" s="37" t="str">
        <f t="shared" si="4"/>
        <v xml:space="preserve"> </v>
      </c>
    </row>
    <row r="20" spans="1:41" ht="21.9" customHeight="1" x14ac:dyDescent="0.3">
      <c r="A20" s="14">
        <v>10</v>
      </c>
      <c r="B20" s="35" t="s">
        <v>156</v>
      </c>
      <c r="C20" s="14">
        <v>1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f t="shared" si="0"/>
        <v>20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f t="shared" si="1"/>
        <v>5</v>
      </c>
      <c r="AD20" s="14">
        <v>2</v>
      </c>
      <c r="AE20" s="14">
        <v>2</v>
      </c>
      <c r="AF20" s="14">
        <v>2</v>
      </c>
      <c r="AG20" s="14">
        <v>2</v>
      </c>
      <c r="AH20" s="14">
        <v>2</v>
      </c>
      <c r="AI20" s="14">
        <f t="shared" si="5"/>
        <v>10</v>
      </c>
      <c r="AJ20" s="14">
        <f t="shared" si="6"/>
        <v>35</v>
      </c>
      <c r="AK20" s="46">
        <f t="shared" si="2"/>
        <v>100</v>
      </c>
      <c r="AL20" s="37">
        <f t="shared" si="3"/>
        <v>1</v>
      </c>
      <c r="AM20" s="37" t="str">
        <f t="shared" si="4"/>
        <v xml:space="preserve"> </v>
      </c>
    </row>
    <row r="21" spans="1:41" ht="21.9" customHeight="1" x14ac:dyDescent="0.3">
      <c r="A21" s="14">
        <v>11</v>
      </c>
      <c r="B21" s="34" t="s">
        <v>157</v>
      </c>
      <c r="C21" s="14">
        <v>1</v>
      </c>
      <c r="D21" s="14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f t="shared" si="0"/>
        <v>20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f t="shared" si="1"/>
        <v>5</v>
      </c>
      <c r="AD21" s="14">
        <v>2</v>
      </c>
      <c r="AE21" s="14">
        <v>2</v>
      </c>
      <c r="AF21" s="14">
        <v>2</v>
      </c>
      <c r="AG21" s="14">
        <v>2</v>
      </c>
      <c r="AH21" s="14">
        <v>2</v>
      </c>
      <c r="AI21" s="14">
        <f t="shared" si="5"/>
        <v>10</v>
      </c>
      <c r="AJ21" s="14">
        <f t="shared" si="6"/>
        <v>35</v>
      </c>
      <c r="AK21" s="46">
        <f t="shared" si="2"/>
        <v>100</v>
      </c>
      <c r="AL21" s="37">
        <f t="shared" si="3"/>
        <v>1</v>
      </c>
      <c r="AM21" s="37" t="str">
        <f t="shared" si="4"/>
        <v xml:space="preserve"> </v>
      </c>
    </row>
    <row r="22" spans="1:41" ht="21.9" customHeight="1" x14ac:dyDescent="0.3">
      <c r="A22" s="14">
        <v>12</v>
      </c>
      <c r="B22" s="35" t="s">
        <v>159</v>
      </c>
      <c r="C22" s="14">
        <v>1</v>
      </c>
      <c r="D22" s="14">
        <v>1</v>
      </c>
      <c r="E22" s="14">
        <v>1</v>
      </c>
      <c r="F22" s="14">
        <v>1</v>
      </c>
      <c r="G22" s="14">
        <v>1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f t="shared" si="0"/>
        <v>20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f t="shared" si="1"/>
        <v>5</v>
      </c>
      <c r="AD22" s="14">
        <v>2</v>
      </c>
      <c r="AE22" s="14">
        <v>2</v>
      </c>
      <c r="AF22" s="14">
        <v>2</v>
      </c>
      <c r="AG22" s="14">
        <v>2</v>
      </c>
      <c r="AH22" s="14">
        <v>2</v>
      </c>
      <c r="AI22" s="14">
        <f t="shared" si="5"/>
        <v>10</v>
      </c>
      <c r="AJ22" s="14">
        <f t="shared" si="6"/>
        <v>35</v>
      </c>
      <c r="AK22" s="46">
        <f t="shared" si="2"/>
        <v>100</v>
      </c>
      <c r="AL22" s="37">
        <f t="shared" si="3"/>
        <v>1</v>
      </c>
      <c r="AM22" s="37" t="str">
        <f t="shared" si="4"/>
        <v xml:space="preserve"> </v>
      </c>
    </row>
    <row r="23" spans="1:41" ht="21.9" customHeight="1" x14ac:dyDescent="0.3">
      <c r="A23" s="14">
        <v>13</v>
      </c>
      <c r="B23" s="35" t="s">
        <v>127</v>
      </c>
      <c r="C23" s="14">
        <v>1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f t="shared" si="0"/>
        <v>20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f t="shared" si="1"/>
        <v>5</v>
      </c>
      <c r="AD23" s="14">
        <v>2</v>
      </c>
      <c r="AE23" s="14">
        <v>2</v>
      </c>
      <c r="AF23" s="14">
        <v>2</v>
      </c>
      <c r="AG23" s="14">
        <v>2</v>
      </c>
      <c r="AH23" s="14">
        <v>2</v>
      </c>
      <c r="AI23" s="14">
        <f t="shared" si="5"/>
        <v>10</v>
      </c>
      <c r="AJ23" s="14">
        <f t="shared" si="6"/>
        <v>35</v>
      </c>
      <c r="AK23" s="46">
        <f t="shared" si="2"/>
        <v>100</v>
      </c>
      <c r="AL23" s="37">
        <f t="shared" si="3"/>
        <v>1</v>
      </c>
      <c r="AM23" s="37" t="str">
        <f t="shared" si="4"/>
        <v xml:space="preserve"> </v>
      </c>
    </row>
    <row r="24" spans="1:41" ht="21.9" customHeight="1" x14ac:dyDescent="0.3">
      <c r="A24" s="14">
        <v>14</v>
      </c>
      <c r="B24" s="35" t="s">
        <v>128</v>
      </c>
      <c r="C24" s="14">
        <v>1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f t="shared" si="0"/>
        <v>20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f t="shared" si="1"/>
        <v>5</v>
      </c>
      <c r="AD24" s="14">
        <v>2</v>
      </c>
      <c r="AE24" s="14">
        <v>2</v>
      </c>
      <c r="AF24" s="14">
        <v>2</v>
      </c>
      <c r="AG24" s="14">
        <v>2</v>
      </c>
      <c r="AH24" s="14">
        <v>2</v>
      </c>
      <c r="AI24" s="14">
        <f t="shared" si="5"/>
        <v>10</v>
      </c>
      <c r="AJ24" s="14">
        <f t="shared" si="6"/>
        <v>35</v>
      </c>
      <c r="AK24" s="46">
        <f t="shared" si="2"/>
        <v>100</v>
      </c>
      <c r="AL24" s="37">
        <f t="shared" si="3"/>
        <v>1</v>
      </c>
      <c r="AM24" s="37" t="str">
        <f t="shared" si="4"/>
        <v xml:space="preserve"> </v>
      </c>
    </row>
    <row r="25" spans="1:41" ht="21.9" customHeight="1" x14ac:dyDescent="0.3">
      <c r="A25" s="14">
        <v>15</v>
      </c>
      <c r="B25" s="36" t="s">
        <v>184</v>
      </c>
      <c r="C25" s="14">
        <v>1</v>
      </c>
      <c r="D25" s="14">
        <v>1</v>
      </c>
      <c r="E25" s="14">
        <v>1</v>
      </c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f t="shared" si="0"/>
        <v>20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f t="shared" si="1"/>
        <v>5</v>
      </c>
      <c r="AD25" s="14">
        <v>2</v>
      </c>
      <c r="AE25" s="14">
        <v>2</v>
      </c>
      <c r="AF25" s="14">
        <v>2</v>
      </c>
      <c r="AG25" s="14">
        <v>2</v>
      </c>
      <c r="AH25" s="14">
        <v>2</v>
      </c>
      <c r="AI25" s="14">
        <f t="shared" si="5"/>
        <v>10</v>
      </c>
      <c r="AJ25" s="14">
        <f t="shared" si="6"/>
        <v>35</v>
      </c>
      <c r="AK25" s="46">
        <f t="shared" si="2"/>
        <v>100</v>
      </c>
      <c r="AL25" s="37">
        <f t="shared" si="3"/>
        <v>1</v>
      </c>
      <c r="AM25" s="37" t="str">
        <f t="shared" si="4"/>
        <v xml:space="preserve"> </v>
      </c>
    </row>
    <row r="26" spans="1:41" ht="21.9" customHeight="1" x14ac:dyDescent="0.3">
      <c r="A26" s="14">
        <v>16</v>
      </c>
      <c r="B26" s="49" t="s">
        <v>160</v>
      </c>
      <c r="C26" s="14">
        <v>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f t="shared" si="0"/>
        <v>20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f t="shared" si="1"/>
        <v>5</v>
      </c>
      <c r="AD26" s="14">
        <v>2</v>
      </c>
      <c r="AE26" s="14">
        <v>2</v>
      </c>
      <c r="AF26" s="14">
        <v>2</v>
      </c>
      <c r="AG26" s="14">
        <v>2</v>
      </c>
      <c r="AH26" s="14">
        <v>2</v>
      </c>
      <c r="AI26" s="14">
        <f t="shared" si="5"/>
        <v>10</v>
      </c>
      <c r="AJ26" s="14">
        <f t="shared" si="6"/>
        <v>35</v>
      </c>
      <c r="AK26" s="46">
        <f t="shared" si="2"/>
        <v>100</v>
      </c>
      <c r="AL26" s="37">
        <f t="shared" si="3"/>
        <v>1</v>
      </c>
      <c r="AM26" s="37" t="str">
        <f t="shared" si="4"/>
        <v xml:space="preserve"> </v>
      </c>
    </row>
    <row r="27" spans="1:41" ht="21.9" customHeight="1" x14ac:dyDescent="0.3">
      <c r="A27" s="14">
        <v>17</v>
      </c>
      <c r="B27" s="34" t="s">
        <v>131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f t="shared" si="0"/>
        <v>20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f t="shared" si="1"/>
        <v>5</v>
      </c>
      <c r="AD27" s="14">
        <v>2</v>
      </c>
      <c r="AE27" s="14">
        <v>2</v>
      </c>
      <c r="AF27" s="14">
        <v>2</v>
      </c>
      <c r="AG27" s="14">
        <v>2</v>
      </c>
      <c r="AH27" s="14">
        <v>2</v>
      </c>
      <c r="AI27" s="14">
        <f t="shared" si="5"/>
        <v>10</v>
      </c>
      <c r="AJ27" s="14">
        <f t="shared" si="6"/>
        <v>35</v>
      </c>
      <c r="AK27" s="46">
        <f t="shared" si="2"/>
        <v>100</v>
      </c>
      <c r="AL27" s="37">
        <f t="shared" si="3"/>
        <v>1</v>
      </c>
      <c r="AM27" s="37" t="str">
        <f t="shared" si="4"/>
        <v xml:space="preserve"> </v>
      </c>
    </row>
    <row r="28" spans="1:41" ht="21.9" customHeight="1" x14ac:dyDescent="0.3">
      <c r="A28" s="14">
        <v>18</v>
      </c>
      <c r="B28" s="35" t="s">
        <v>164</v>
      </c>
      <c r="C28" s="14">
        <v>1</v>
      </c>
      <c r="D28" s="14">
        <v>1</v>
      </c>
      <c r="E28" s="14">
        <v>1</v>
      </c>
      <c r="F28" s="14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f t="shared" si="0"/>
        <v>20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f t="shared" si="1"/>
        <v>5</v>
      </c>
      <c r="AD28" s="14">
        <v>2</v>
      </c>
      <c r="AE28" s="14">
        <v>2</v>
      </c>
      <c r="AF28" s="14">
        <v>2</v>
      </c>
      <c r="AG28" s="14">
        <v>2</v>
      </c>
      <c r="AH28" s="14">
        <v>2</v>
      </c>
      <c r="AI28" s="14">
        <f t="shared" si="5"/>
        <v>10</v>
      </c>
      <c r="AJ28" s="14">
        <f t="shared" si="6"/>
        <v>35</v>
      </c>
      <c r="AK28" s="46">
        <f t="shared" si="2"/>
        <v>100</v>
      </c>
      <c r="AL28" s="37">
        <f t="shared" si="3"/>
        <v>1</v>
      </c>
      <c r="AM28" s="37" t="str">
        <f t="shared" si="4"/>
        <v xml:space="preserve"> </v>
      </c>
    </row>
    <row r="29" spans="1:41" ht="21.9" customHeight="1" x14ac:dyDescent="0.3">
      <c r="A29" s="14">
        <v>19</v>
      </c>
      <c r="B29" s="35" t="s">
        <v>133</v>
      </c>
      <c r="C29" s="14">
        <v>1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f t="shared" si="0"/>
        <v>20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f t="shared" si="1"/>
        <v>5</v>
      </c>
      <c r="AD29" s="14">
        <v>2</v>
      </c>
      <c r="AE29" s="14">
        <v>2</v>
      </c>
      <c r="AF29" s="14">
        <v>2</v>
      </c>
      <c r="AG29" s="14">
        <v>2</v>
      </c>
      <c r="AH29" s="14">
        <v>2</v>
      </c>
      <c r="AI29" s="14">
        <f t="shared" si="5"/>
        <v>10</v>
      </c>
      <c r="AJ29" s="14">
        <f t="shared" si="6"/>
        <v>35</v>
      </c>
      <c r="AK29" s="46">
        <f t="shared" si="2"/>
        <v>100</v>
      </c>
      <c r="AL29" s="37">
        <f t="shared" si="3"/>
        <v>1</v>
      </c>
      <c r="AM29" s="37" t="str">
        <f t="shared" si="4"/>
        <v xml:space="preserve"> </v>
      </c>
    </row>
    <row r="30" spans="1:41" ht="21.9" customHeight="1" x14ac:dyDescent="0.3">
      <c r="A30" s="14">
        <v>20</v>
      </c>
      <c r="B30" s="35" t="s">
        <v>165</v>
      </c>
      <c r="C30" s="14">
        <v>1</v>
      </c>
      <c r="D30" s="14">
        <v>1</v>
      </c>
      <c r="E30" s="14">
        <v>1</v>
      </c>
      <c r="F30" s="14">
        <v>1</v>
      </c>
      <c r="G30" s="14">
        <v>1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f t="shared" si="0"/>
        <v>20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f t="shared" si="1"/>
        <v>5</v>
      </c>
      <c r="AD30" s="14">
        <v>2</v>
      </c>
      <c r="AE30" s="14">
        <v>2</v>
      </c>
      <c r="AF30" s="14">
        <v>2</v>
      </c>
      <c r="AG30" s="14">
        <v>2</v>
      </c>
      <c r="AH30" s="14">
        <v>2</v>
      </c>
      <c r="AI30" s="14">
        <f t="shared" si="5"/>
        <v>10</v>
      </c>
      <c r="AJ30" s="14">
        <f t="shared" si="6"/>
        <v>35</v>
      </c>
      <c r="AK30" s="46">
        <f t="shared" si="2"/>
        <v>100</v>
      </c>
      <c r="AL30" s="37">
        <f t="shared" si="3"/>
        <v>1</v>
      </c>
      <c r="AM30" s="37" t="str">
        <f t="shared" si="4"/>
        <v xml:space="preserve"> </v>
      </c>
    </row>
    <row r="31" spans="1:41" ht="21.9" customHeight="1" x14ac:dyDescent="0.3">
      <c r="A31" s="14">
        <v>21</v>
      </c>
      <c r="B31" s="35" t="s">
        <v>134</v>
      </c>
      <c r="C31" s="14">
        <v>1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f t="shared" si="0"/>
        <v>20</v>
      </c>
      <c r="X31" s="14">
        <v>1</v>
      </c>
      <c r="Y31" s="14">
        <v>1</v>
      </c>
      <c r="Z31" s="14">
        <v>1</v>
      </c>
      <c r="AA31" s="14">
        <v>1</v>
      </c>
      <c r="AB31" s="14">
        <v>1</v>
      </c>
      <c r="AC31" s="14">
        <f t="shared" si="1"/>
        <v>5</v>
      </c>
      <c r="AD31" s="14">
        <v>2</v>
      </c>
      <c r="AE31" s="14">
        <v>2</v>
      </c>
      <c r="AF31" s="14">
        <v>2</v>
      </c>
      <c r="AG31" s="14">
        <v>2</v>
      </c>
      <c r="AH31" s="14">
        <v>2</v>
      </c>
      <c r="AI31" s="14">
        <f t="shared" si="5"/>
        <v>10</v>
      </c>
      <c r="AJ31" s="14">
        <f t="shared" si="6"/>
        <v>35</v>
      </c>
      <c r="AK31" s="46">
        <f t="shared" si="2"/>
        <v>100</v>
      </c>
      <c r="AL31" s="37">
        <f t="shared" si="3"/>
        <v>1</v>
      </c>
      <c r="AM31" s="37" t="str">
        <f t="shared" si="4"/>
        <v xml:space="preserve"> </v>
      </c>
    </row>
    <row r="32" spans="1:41" ht="21.9" customHeight="1" x14ac:dyDescent="0.3">
      <c r="A32" s="14">
        <v>22</v>
      </c>
      <c r="B32" s="34" t="s">
        <v>167</v>
      </c>
      <c r="C32" s="14">
        <v>1</v>
      </c>
      <c r="D32" s="14">
        <v>1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f t="shared" si="0"/>
        <v>20</v>
      </c>
      <c r="X32" s="14">
        <v>1</v>
      </c>
      <c r="Y32" s="14">
        <v>1</v>
      </c>
      <c r="Z32" s="14">
        <v>1</v>
      </c>
      <c r="AA32" s="14">
        <v>1</v>
      </c>
      <c r="AB32" s="14">
        <v>1</v>
      </c>
      <c r="AC32" s="14">
        <f t="shared" si="1"/>
        <v>5</v>
      </c>
      <c r="AD32" s="14">
        <v>2</v>
      </c>
      <c r="AE32" s="14">
        <v>2</v>
      </c>
      <c r="AF32" s="14">
        <v>2</v>
      </c>
      <c r="AG32" s="14">
        <v>2</v>
      </c>
      <c r="AH32" s="14">
        <v>2</v>
      </c>
      <c r="AI32" s="14">
        <f t="shared" si="5"/>
        <v>10</v>
      </c>
      <c r="AJ32" s="14">
        <f t="shared" si="6"/>
        <v>35</v>
      </c>
      <c r="AK32" s="46">
        <f t="shared" si="2"/>
        <v>100</v>
      </c>
      <c r="AL32" s="37">
        <f t="shared" si="3"/>
        <v>1</v>
      </c>
      <c r="AM32" s="37" t="str">
        <f t="shared" si="4"/>
        <v xml:space="preserve"> </v>
      </c>
    </row>
    <row r="33" spans="1:39" ht="21.9" customHeight="1" x14ac:dyDescent="0.3">
      <c r="A33" s="14">
        <v>23</v>
      </c>
      <c r="B33" s="35" t="s">
        <v>137</v>
      </c>
      <c r="C33" s="14">
        <v>1</v>
      </c>
      <c r="D33" s="14">
        <v>1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f t="shared" si="0"/>
        <v>20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f t="shared" si="1"/>
        <v>5</v>
      </c>
      <c r="AD33" s="14">
        <v>2</v>
      </c>
      <c r="AE33" s="14">
        <v>2</v>
      </c>
      <c r="AF33" s="14">
        <v>2</v>
      </c>
      <c r="AG33" s="14">
        <v>2</v>
      </c>
      <c r="AH33" s="14">
        <v>2</v>
      </c>
      <c r="AI33" s="14">
        <f t="shared" si="5"/>
        <v>10</v>
      </c>
      <c r="AJ33" s="14">
        <f t="shared" si="6"/>
        <v>35</v>
      </c>
      <c r="AK33" s="46">
        <f t="shared" si="2"/>
        <v>100</v>
      </c>
      <c r="AL33" s="37">
        <f t="shared" si="3"/>
        <v>1</v>
      </c>
      <c r="AM33" s="37" t="str">
        <f t="shared" si="4"/>
        <v xml:space="preserve"> </v>
      </c>
    </row>
    <row r="34" spans="1:39" ht="21.9" customHeight="1" x14ac:dyDescent="0.3">
      <c r="A34" s="14">
        <v>24</v>
      </c>
      <c r="B34" s="35" t="s">
        <v>169</v>
      </c>
      <c r="C34" s="14">
        <v>1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>
        <v>1</v>
      </c>
      <c r="K34" s="14">
        <v>1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f t="shared" si="0"/>
        <v>20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f t="shared" si="1"/>
        <v>5</v>
      </c>
      <c r="AD34" s="14">
        <v>2</v>
      </c>
      <c r="AE34" s="14">
        <v>2</v>
      </c>
      <c r="AF34" s="14">
        <v>2</v>
      </c>
      <c r="AG34" s="14">
        <v>2</v>
      </c>
      <c r="AH34" s="14">
        <v>2</v>
      </c>
      <c r="AI34" s="14">
        <f t="shared" si="5"/>
        <v>10</v>
      </c>
      <c r="AJ34" s="14">
        <f t="shared" si="6"/>
        <v>35</v>
      </c>
      <c r="AK34" s="46">
        <f t="shared" si="2"/>
        <v>100</v>
      </c>
      <c r="AL34" s="37">
        <f t="shared" si="3"/>
        <v>1</v>
      </c>
      <c r="AM34" s="37" t="str">
        <f t="shared" si="4"/>
        <v xml:space="preserve"> </v>
      </c>
    </row>
    <row r="35" spans="1:39" ht="21.9" customHeight="1" x14ac:dyDescent="0.3">
      <c r="A35" s="14">
        <v>25</v>
      </c>
      <c r="B35" s="35" t="s">
        <v>171</v>
      </c>
      <c r="C35" s="14">
        <v>1</v>
      </c>
      <c r="D35" s="1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f t="shared" si="0"/>
        <v>20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f t="shared" si="1"/>
        <v>5</v>
      </c>
      <c r="AD35" s="14">
        <v>2</v>
      </c>
      <c r="AE35" s="14">
        <v>2</v>
      </c>
      <c r="AF35" s="14">
        <v>2</v>
      </c>
      <c r="AG35" s="14">
        <v>2</v>
      </c>
      <c r="AH35" s="14">
        <v>2</v>
      </c>
      <c r="AI35" s="14">
        <f t="shared" si="5"/>
        <v>10</v>
      </c>
      <c r="AJ35" s="14">
        <f t="shared" si="6"/>
        <v>35</v>
      </c>
      <c r="AK35" s="46">
        <f t="shared" si="2"/>
        <v>100</v>
      </c>
      <c r="AL35" s="37"/>
      <c r="AM35" s="37" t="str">
        <f t="shared" si="4"/>
        <v xml:space="preserve"> </v>
      </c>
    </row>
    <row r="36" spans="1:39" ht="21.9" customHeight="1" x14ac:dyDescent="0.3">
      <c r="A36" s="14">
        <v>26</v>
      </c>
      <c r="B36" s="34" t="s">
        <v>172</v>
      </c>
      <c r="C36" s="14">
        <v>1</v>
      </c>
      <c r="D36" s="14">
        <v>1</v>
      </c>
      <c r="E36" s="14">
        <v>1</v>
      </c>
      <c r="F36" s="14">
        <v>1</v>
      </c>
      <c r="G36" s="14">
        <v>1</v>
      </c>
      <c r="H36" s="14">
        <v>1</v>
      </c>
      <c r="I36" s="14">
        <v>1</v>
      </c>
      <c r="J36" s="14">
        <v>1</v>
      </c>
      <c r="K36" s="14">
        <v>1</v>
      </c>
      <c r="L36" s="14">
        <v>1</v>
      </c>
      <c r="M36" s="14">
        <v>1</v>
      </c>
      <c r="N36" s="14">
        <v>1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f t="shared" si="0"/>
        <v>20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f t="shared" si="1"/>
        <v>5</v>
      </c>
      <c r="AD36" s="14">
        <v>2</v>
      </c>
      <c r="AE36" s="14">
        <v>2</v>
      </c>
      <c r="AF36" s="14">
        <v>2</v>
      </c>
      <c r="AG36" s="14">
        <v>2</v>
      </c>
      <c r="AH36" s="14">
        <v>2</v>
      </c>
      <c r="AI36" s="14">
        <f t="shared" si="5"/>
        <v>10</v>
      </c>
      <c r="AJ36" s="14">
        <f t="shared" si="6"/>
        <v>35</v>
      </c>
      <c r="AK36" s="46">
        <f t="shared" si="2"/>
        <v>100</v>
      </c>
      <c r="AL36" s="37"/>
      <c r="AM36" s="37" t="str">
        <f t="shared" si="4"/>
        <v xml:space="preserve"> </v>
      </c>
    </row>
    <row r="37" spans="1:39" ht="21.9" customHeight="1" x14ac:dyDescent="0.3">
      <c r="A37" s="14">
        <v>27</v>
      </c>
      <c r="B37" s="34" t="s">
        <v>142</v>
      </c>
      <c r="C37" s="14">
        <v>1</v>
      </c>
      <c r="D37" s="14">
        <v>1</v>
      </c>
      <c r="E37" s="14">
        <v>1</v>
      </c>
      <c r="F37" s="14">
        <v>1</v>
      </c>
      <c r="G37" s="14">
        <v>1</v>
      </c>
      <c r="H37" s="14">
        <v>1</v>
      </c>
      <c r="I37" s="14">
        <v>1</v>
      </c>
      <c r="J37" s="14">
        <v>1</v>
      </c>
      <c r="K37" s="14">
        <v>1</v>
      </c>
      <c r="L37" s="14">
        <v>1</v>
      </c>
      <c r="M37" s="14">
        <v>1</v>
      </c>
      <c r="N37" s="14">
        <v>1</v>
      </c>
      <c r="O37" s="14">
        <v>1</v>
      </c>
      <c r="P37" s="14">
        <v>1</v>
      </c>
      <c r="Q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W37" s="14">
        <f t="shared" si="0"/>
        <v>20</v>
      </c>
      <c r="X37" s="14">
        <v>1</v>
      </c>
      <c r="Y37" s="14">
        <v>1</v>
      </c>
      <c r="Z37" s="14">
        <v>1</v>
      </c>
      <c r="AA37" s="14">
        <v>1</v>
      </c>
      <c r="AB37" s="14">
        <v>1</v>
      </c>
      <c r="AC37" s="14">
        <f t="shared" si="1"/>
        <v>5</v>
      </c>
      <c r="AD37" s="14">
        <v>2</v>
      </c>
      <c r="AE37" s="14">
        <v>2</v>
      </c>
      <c r="AF37" s="14">
        <v>2</v>
      </c>
      <c r="AG37" s="14">
        <v>2</v>
      </c>
      <c r="AH37" s="14">
        <v>2</v>
      </c>
      <c r="AI37" s="14">
        <f t="shared" si="5"/>
        <v>10</v>
      </c>
      <c r="AJ37" s="14">
        <f t="shared" si="6"/>
        <v>35</v>
      </c>
      <c r="AK37" s="46">
        <f t="shared" si="2"/>
        <v>100</v>
      </c>
      <c r="AL37" s="37"/>
      <c r="AM37" s="37" t="str">
        <f t="shared" si="4"/>
        <v xml:space="preserve"> </v>
      </c>
    </row>
    <row r="38" spans="1:39" ht="21.9" customHeight="1" x14ac:dyDescent="0.3">
      <c r="A38" s="14">
        <v>28</v>
      </c>
      <c r="B38" s="35" t="s">
        <v>173</v>
      </c>
      <c r="C38" s="14">
        <v>1</v>
      </c>
      <c r="D38" s="14">
        <v>1</v>
      </c>
      <c r="E38" s="14">
        <v>1</v>
      </c>
      <c r="F38" s="14">
        <v>1</v>
      </c>
      <c r="G38" s="14">
        <v>1</v>
      </c>
      <c r="H38" s="14">
        <v>1</v>
      </c>
      <c r="I38" s="14">
        <v>1</v>
      </c>
      <c r="J38" s="14">
        <v>1</v>
      </c>
      <c r="K38" s="14">
        <v>1</v>
      </c>
      <c r="L38" s="14">
        <v>1</v>
      </c>
      <c r="M38" s="14">
        <v>1</v>
      </c>
      <c r="N38" s="14">
        <v>1</v>
      </c>
      <c r="O38" s="14">
        <v>1</v>
      </c>
      <c r="P38" s="14">
        <v>1</v>
      </c>
      <c r="Q38" s="14">
        <v>1</v>
      </c>
      <c r="R38" s="14">
        <v>1</v>
      </c>
      <c r="S38" s="14">
        <v>1</v>
      </c>
      <c r="T38" s="14">
        <v>1</v>
      </c>
      <c r="U38" s="14">
        <v>1</v>
      </c>
      <c r="V38" s="14">
        <v>1</v>
      </c>
      <c r="W38" s="14">
        <f t="shared" si="0"/>
        <v>20</v>
      </c>
      <c r="X38" s="14">
        <v>1</v>
      </c>
      <c r="Y38" s="14">
        <v>1</v>
      </c>
      <c r="Z38" s="14">
        <v>1</v>
      </c>
      <c r="AA38" s="14">
        <v>1</v>
      </c>
      <c r="AB38" s="14">
        <v>1</v>
      </c>
      <c r="AC38" s="14">
        <f t="shared" si="1"/>
        <v>5</v>
      </c>
      <c r="AD38" s="14">
        <v>2</v>
      </c>
      <c r="AE38" s="14">
        <v>2</v>
      </c>
      <c r="AF38" s="14">
        <v>2</v>
      </c>
      <c r="AG38" s="14">
        <v>2</v>
      </c>
      <c r="AH38" s="14">
        <v>2</v>
      </c>
      <c r="AI38" s="14">
        <f t="shared" si="5"/>
        <v>10</v>
      </c>
      <c r="AJ38" s="14">
        <f t="shared" si="6"/>
        <v>35</v>
      </c>
      <c r="AK38" s="46">
        <f t="shared" si="2"/>
        <v>100</v>
      </c>
      <c r="AL38" s="37"/>
      <c r="AM38" s="37" t="str">
        <f t="shared" si="4"/>
        <v xml:space="preserve"> </v>
      </c>
    </row>
    <row r="39" spans="1:39" ht="21.9" customHeight="1" x14ac:dyDescent="0.3">
      <c r="A39" s="14">
        <v>29</v>
      </c>
      <c r="B39" s="34" t="s">
        <v>145</v>
      </c>
      <c r="C39" s="14">
        <v>1</v>
      </c>
      <c r="D39" s="14">
        <v>1</v>
      </c>
      <c r="E39" s="14">
        <v>1</v>
      </c>
      <c r="F39" s="14">
        <v>1</v>
      </c>
      <c r="G39" s="14">
        <v>1</v>
      </c>
      <c r="H39" s="14">
        <v>1</v>
      </c>
      <c r="I39" s="14">
        <v>1</v>
      </c>
      <c r="J39" s="14">
        <v>1</v>
      </c>
      <c r="K39" s="14">
        <v>1</v>
      </c>
      <c r="L39" s="14">
        <v>1</v>
      </c>
      <c r="M39" s="14">
        <v>1</v>
      </c>
      <c r="N39" s="14">
        <v>1</v>
      </c>
      <c r="O39" s="14">
        <v>1</v>
      </c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f t="shared" si="0"/>
        <v>20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f t="shared" si="1"/>
        <v>5</v>
      </c>
      <c r="AD39" s="14">
        <v>2</v>
      </c>
      <c r="AE39" s="14">
        <v>2</v>
      </c>
      <c r="AF39" s="14">
        <v>2</v>
      </c>
      <c r="AG39" s="14">
        <v>2</v>
      </c>
      <c r="AH39" s="14">
        <v>2</v>
      </c>
      <c r="AI39" s="14">
        <f t="shared" si="5"/>
        <v>10</v>
      </c>
      <c r="AJ39" s="14">
        <f t="shared" si="6"/>
        <v>35</v>
      </c>
      <c r="AK39" s="46">
        <f t="shared" si="2"/>
        <v>100</v>
      </c>
      <c r="AL39" s="37"/>
      <c r="AM39" s="37" t="str">
        <f t="shared" si="4"/>
        <v xml:space="preserve"> </v>
      </c>
    </row>
    <row r="40" spans="1:39" ht="21.9" customHeight="1" x14ac:dyDescent="0.3">
      <c r="A40" s="14">
        <v>30</v>
      </c>
      <c r="B40" s="35" t="s">
        <v>177</v>
      </c>
      <c r="C40" s="14">
        <v>1</v>
      </c>
      <c r="D40" s="14">
        <v>1</v>
      </c>
      <c r="E40" s="14">
        <v>1</v>
      </c>
      <c r="F40" s="14">
        <v>1</v>
      </c>
      <c r="G40" s="14">
        <v>1</v>
      </c>
      <c r="H40" s="14">
        <v>1</v>
      </c>
      <c r="I40" s="14">
        <v>1</v>
      </c>
      <c r="J40" s="14">
        <v>1</v>
      </c>
      <c r="K40" s="14">
        <v>1</v>
      </c>
      <c r="L40" s="14">
        <v>1</v>
      </c>
      <c r="M40" s="14">
        <v>1</v>
      </c>
      <c r="N40" s="14">
        <v>1</v>
      </c>
      <c r="O40" s="14">
        <v>1</v>
      </c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f t="shared" si="0"/>
        <v>20</v>
      </c>
      <c r="X40" s="14">
        <v>1</v>
      </c>
      <c r="Y40" s="14">
        <v>1</v>
      </c>
      <c r="Z40" s="14">
        <v>1</v>
      </c>
      <c r="AA40" s="14">
        <v>1</v>
      </c>
      <c r="AB40" s="14">
        <v>1</v>
      </c>
      <c r="AC40" s="14">
        <f t="shared" si="1"/>
        <v>5</v>
      </c>
      <c r="AD40" s="14">
        <v>2</v>
      </c>
      <c r="AE40" s="14">
        <v>2</v>
      </c>
      <c r="AF40" s="14">
        <v>2</v>
      </c>
      <c r="AG40" s="14">
        <v>2</v>
      </c>
      <c r="AH40" s="14">
        <v>2</v>
      </c>
      <c r="AI40" s="14">
        <f t="shared" si="5"/>
        <v>10</v>
      </c>
      <c r="AJ40" s="14">
        <f t="shared" si="6"/>
        <v>35</v>
      </c>
      <c r="AK40" s="46">
        <f t="shared" si="2"/>
        <v>100</v>
      </c>
      <c r="AL40" s="37"/>
      <c r="AM40" s="37" t="str">
        <f t="shared" si="4"/>
        <v xml:space="preserve"> </v>
      </c>
    </row>
    <row r="41" spans="1:39" ht="21.9" customHeight="1" x14ac:dyDescent="0.3">
      <c r="A41" s="14">
        <v>31</v>
      </c>
      <c r="B41" s="44" t="s">
        <v>182</v>
      </c>
      <c r="C41" s="14">
        <v>1</v>
      </c>
      <c r="D41" s="14">
        <v>1</v>
      </c>
      <c r="E41" s="14">
        <v>1</v>
      </c>
      <c r="F41" s="14">
        <v>1</v>
      </c>
      <c r="G41" s="14">
        <v>1</v>
      </c>
      <c r="H41" s="14">
        <v>1</v>
      </c>
      <c r="I41" s="14">
        <v>1</v>
      </c>
      <c r="J41" s="14">
        <v>1</v>
      </c>
      <c r="K41" s="14">
        <v>1</v>
      </c>
      <c r="L41" s="14">
        <v>1</v>
      </c>
      <c r="M41" s="14">
        <v>1</v>
      </c>
      <c r="N41" s="14">
        <v>1</v>
      </c>
      <c r="O41" s="14">
        <v>1</v>
      </c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f t="shared" si="0"/>
        <v>20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f t="shared" si="1"/>
        <v>5</v>
      </c>
      <c r="AD41" s="14">
        <v>2</v>
      </c>
      <c r="AE41" s="14">
        <v>2</v>
      </c>
      <c r="AF41" s="14">
        <v>2</v>
      </c>
      <c r="AG41" s="14">
        <v>2</v>
      </c>
      <c r="AH41" s="14">
        <v>2</v>
      </c>
      <c r="AI41" s="14">
        <f t="shared" si="5"/>
        <v>10</v>
      </c>
      <c r="AJ41" s="14">
        <f t="shared" si="6"/>
        <v>35</v>
      </c>
      <c r="AK41" s="46">
        <f t="shared" si="2"/>
        <v>100</v>
      </c>
      <c r="AL41" s="37"/>
      <c r="AM41" s="37" t="str">
        <f t="shared" si="4"/>
        <v xml:space="preserve"> </v>
      </c>
    </row>
    <row r="42" spans="1:39" ht="21.9" customHeight="1" x14ac:dyDescent="0.3">
      <c r="A42" s="14">
        <v>32</v>
      </c>
      <c r="B42" s="47" t="s">
        <v>274</v>
      </c>
      <c r="C42" s="14">
        <v>1</v>
      </c>
      <c r="D42" s="14">
        <v>1</v>
      </c>
      <c r="E42" s="14">
        <v>1</v>
      </c>
      <c r="F42" s="14">
        <v>1</v>
      </c>
      <c r="G42" s="14">
        <v>1</v>
      </c>
      <c r="H42" s="14">
        <v>1</v>
      </c>
      <c r="I42" s="14">
        <v>1</v>
      </c>
      <c r="J42" s="14">
        <v>1</v>
      </c>
      <c r="K42" s="14">
        <v>1</v>
      </c>
      <c r="L42" s="14">
        <v>1</v>
      </c>
      <c r="M42" s="14">
        <v>1</v>
      </c>
      <c r="N42" s="14">
        <v>1</v>
      </c>
      <c r="O42" s="14">
        <v>1</v>
      </c>
      <c r="P42" s="14">
        <v>1</v>
      </c>
      <c r="Q42" s="14">
        <v>1</v>
      </c>
      <c r="R42" s="14">
        <v>1</v>
      </c>
      <c r="S42" s="14">
        <v>1</v>
      </c>
      <c r="T42" s="14">
        <v>1</v>
      </c>
      <c r="U42" s="14">
        <v>1</v>
      </c>
      <c r="V42" s="14">
        <v>1</v>
      </c>
      <c r="W42" s="14">
        <f t="shared" si="0"/>
        <v>20</v>
      </c>
      <c r="X42" s="14">
        <v>1</v>
      </c>
      <c r="Y42" s="14">
        <v>1</v>
      </c>
      <c r="Z42" s="14">
        <v>1</v>
      </c>
      <c r="AA42" s="14">
        <v>1</v>
      </c>
      <c r="AB42" s="14">
        <v>1</v>
      </c>
      <c r="AC42" s="14">
        <f>SUM(X42:AB42)</f>
        <v>5</v>
      </c>
      <c r="AD42" s="14">
        <v>2</v>
      </c>
      <c r="AE42" s="14">
        <v>2</v>
      </c>
      <c r="AF42" s="14">
        <v>2</v>
      </c>
      <c r="AG42" s="14">
        <v>2</v>
      </c>
      <c r="AH42" s="14">
        <v>2</v>
      </c>
      <c r="AI42" s="14">
        <f t="shared" si="5"/>
        <v>10</v>
      </c>
      <c r="AJ42" s="14">
        <f t="shared" si="6"/>
        <v>35</v>
      </c>
      <c r="AK42" s="46">
        <f t="shared" si="2"/>
        <v>100</v>
      </c>
      <c r="AL42" s="37"/>
      <c r="AM42" s="37" t="str">
        <f t="shared" si="4"/>
        <v xml:space="preserve"> </v>
      </c>
    </row>
    <row r="43" spans="1:39" ht="20.100000000000001" customHeight="1" x14ac:dyDescent="0.3">
      <c r="A43" s="16" t="s">
        <v>36</v>
      </c>
      <c r="B43" s="17"/>
      <c r="C43" s="31">
        <f t="shared" ref="C43:V43" si="7">SUM(C11:C42)</f>
        <v>32</v>
      </c>
      <c r="D43" s="31">
        <f t="shared" si="7"/>
        <v>32</v>
      </c>
      <c r="E43" s="31">
        <f t="shared" si="7"/>
        <v>32</v>
      </c>
      <c r="F43" s="31">
        <f t="shared" si="7"/>
        <v>32</v>
      </c>
      <c r="G43" s="31">
        <f t="shared" si="7"/>
        <v>32</v>
      </c>
      <c r="H43" s="31">
        <f t="shared" si="7"/>
        <v>32</v>
      </c>
      <c r="I43" s="31">
        <f t="shared" si="7"/>
        <v>32</v>
      </c>
      <c r="J43" s="31">
        <f t="shared" si="7"/>
        <v>32</v>
      </c>
      <c r="K43" s="31">
        <f t="shared" si="7"/>
        <v>32</v>
      </c>
      <c r="L43" s="31">
        <f t="shared" si="7"/>
        <v>32</v>
      </c>
      <c r="M43" s="31">
        <f t="shared" si="7"/>
        <v>32</v>
      </c>
      <c r="N43" s="31">
        <f t="shared" si="7"/>
        <v>32</v>
      </c>
      <c r="O43" s="31">
        <f t="shared" si="7"/>
        <v>32</v>
      </c>
      <c r="P43" s="31">
        <f t="shared" si="7"/>
        <v>32</v>
      </c>
      <c r="Q43" s="31">
        <f t="shared" si="7"/>
        <v>32</v>
      </c>
      <c r="R43" s="31">
        <f t="shared" si="7"/>
        <v>32</v>
      </c>
      <c r="S43" s="31">
        <f t="shared" si="7"/>
        <v>32</v>
      </c>
      <c r="T43" s="31">
        <f t="shared" si="7"/>
        <v>32</v>
      </c>
      <c r="U43" s="31">
        <f t="shared" si="7"/>
        <v>32</v>
      </c>
      <c r="V43" s="31">
        <f t="shared" si="7"/>
        <v>32</v>
      </c>
      <c r="W43" s="65"/>
      <c r="X43" s="31">
        <f>SUM(X11:X42)</f>
        <v>32</v>
      </c>
      <c r="Y43" s="31">
        <f>SUM(Y11:Y42)</f>
        <v>32</v>
      </c>
      <c r="Z43" s="31">
        <f>SUM(Z11:Z42)</f>
        <v>32</v>
      </c>
      <c r="AA43" s="31">
        <f>SUM(AA11:AA42)</f>
        <v>32</v>
      </c>
      <c r="AB43" s="31">
        <f>SUM(AB11:AB42)</f>
        <v>32</v>
      </c>
      <c r="AC43" s="67"/>
      <c r="AD43" s="31">
        <f>SUM(AD11:AD42)</f>
        <v>64</v>
      </c>
      <c r="AE43" s="31">
        <f>SUM(AE11:AE42)</f>
        <v>64</v>
      </c>
      <c r="AF43" s="31">
        <f>SUM(AF11:AF42)</f>
        <v>64</v>
      </c>
      <c r="AG43" s="31">
        <f>SUM(AG11:AG42)</f>
        <v>64</v>
      </c>
      <c r="AH43" s="31">
        <f>SUM(AH11:AH42)</f>
        <v>64</v>
      </c>
      <c r="AI43" s="65"/>
      <c r="AJ43" s="69">
        <f>SUM(AJ11:AJ42)</f>
        <v>1120</v>
      </c>
      <c r="AK43" s="71">
        <f>SUM(AK11:AK42)</f>
        <v>3200</v>
      </c>
      <c r="AL43" s="60">
        <f>SUM(AL11:AL42)</f>
        <v>24</v>
      </c>
      <c r="AM43" s="60">
        <f>SUM(AM11:AM42)</f>
        <v>0</v>
      </c>
    </row>
    <row r="44" spans="1:39" ht="20.100000000000001" customHeight="1" x14ac:dyDescent="0.3">
      <c r="A44" s="18" t="s">
        <v>37</v>
      </c>
      <c r="B44" s="17"/>
      <c r="C44" s="33">
        <f>C43*100/32</f>
        <v>100</v>
      </c>
      <c r="D44" s="33">
        <f t="shared" ref="D44:V44" si="8">D43*100/32</f>
        <v>100</v>
      </c>
      <c r="E44" s="33">
        <f t="shared" si="8"/>
        <v>100</v>
      </c>
      <c r="F44" s="33">
        <f t="shared" si="8"/>
        <v>100</v>
      </c>
      <c r="G44" s="33">
        <f t="shared" si="8"/>
        <v>100</v>
      </c>
      <c r="H44" s="33">
        <f t="shared" si="8"/>
        <v>100</v>
      </c>
      <c r="I44" s="33">
        <f t="shared" si="8"/>
        <v>100</v>
      </c>
      <c r="J44" s="33">
        <f t="shared" si="8"/>
        <v>100</v>
      </c>
      <c r="K44" s="33">
        <f t="shared" si="8"/>
        <v>100</v>
      </c>
      <c r="L44" s="33">
        <f t="shared" si="8"/>
        <v>100</v>
      </c>
      <c r="M44" s="33">
        <f t="shared" si="8"/>
        <v>100</v>
      </c>
      <c r="N44" s="33">
        <f t="shared" si="8"/>
        <v>100</v>
      </c>
      <c r="O44" s="33">
        <f t="shared" si="8"/>
        <v>100</v>
      </c>
      <c r="P44" s="33">
        <f t="shared" si="8"/>
        <v>100</v>
      </c>
      <c r="Q44" s="33">
        <f t="shared" si="8"/>
        <v>100</v>
      </c>
      <c r="R44" s="33">
        <f t="shared" si="8"/>
        <v>100</v>
      </c>
      <c r="S44" s="33">
        <f t="shared" si="8"/>
        <v>100</v>
      </c>
      <c r="T44" s="33">
        <f t="shared" si="8"/>
        <v>100</v>
      </c>
      <c r="U44" s="33">
        <f t="shared" si="8"/>
        <v>100</v>
      </c>
      <c r="V44" s="33">
        <f t="shared" si="8"/>
        <v>100</v>
      </c>
      <c r="W44" s="66"/>
      <c r="X44" s="33">
        <f>X43*100/32</f>
        <v>100</v>
      </c>
      <c r="Y44" s="33">
        <f>Y43*100/32</f>
        <v>100</v>
      </c>
      <c r="Z44" s="33">
        <f t="shared" ref="Z44:AA44" si="9">Z43*100/32</f>
        <v>100</v>
      </c>
      <c r="AA44" s="33">
        <f t="shared" si="9"/>
        <v>100</v>
      </c>
      <c r="AB44" s="33">
        <f>AB43*100/32</f>
        <v>100</v>
      </c>
      <c r="AC44" s="68"/>
      <c r="AD44" s="33">
        <f>AD43*100/32</f>
        <v>200</v>
      </c>
      <c r="AE44" s="33">
        <f t="shared" ref="AE44:AH44" si="10">AE43*100/32</f>
        <v>200</v>
      </c>
      <c r="AF44" s="33">
        <f t="shared" si="10"/>
        <v>200</v>
      </c>
      <c r="AG44" s="33">
        <f t="shared" si="10"/>
        <v>200</v>
      </c>
      <c r="AH44" s="33">
        <f t="shared" si="10"/>
        <v>200</v>
      </c>
      <c r="AI44" s="66"/>
      <c r="AJ44" s="70"/>
      <c r="AK44" s="70"/>
      <c r="AL44" s="61"/>
      <c r="AM44" s="61"/>
    </row>
    <row r="46" spans="1:39" ht="20.100000000000001" customHeight="1" x14ac:dyDescent="0.3">
      <c r="A46" s="20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3"/>
      <c r="AK46" s="23"/>
      <c r="AL46" s="24"/>
    </row>
    <row r="47" spans="1:39" ht="20.100000000000001" customHeight="1" x14ac:dyDescent="0.3">
      <c r="A47" s="25"/>
      <c r="B47" s="26"/>
      <c r="C47" s="39" t="s">
        <v>38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 t="s">
        <v>215</v>
      </c>
      <c r="AF47" s="26"/>
      <c r="AG47" s="26"/>
      <c r="AH47" s="26"/>
      <c r="AI47" s="26"/>
      <c r="AJ47" s="26"/>
      <c r="AK47" s="26"/>
      <c r="AL47" s="25"/>
    </row>
    <row r="48" spans="1:39" ht="20.100000000000001" customHeight="1" x14ac:dyDescent="0.3">
      <c r="A48" s="25"/>
      <c r="B48" s="26"/>
      <c r="C48" s="26" t="s">
        <v>39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45"/>
      <c r="X48" s="45"/>
      <c r="Y48" s="45"/>
      <c r="Z48" s="45"/>
      <c r="AA48" s="45"/>
      <c r="AB48" s="45"/>
      <c r="AC48" s="45"/>
      <c r="AD48" s="26"/>
      <c r="AE48" s="26" t="s">
        <v>214</v>
      </c>
      <c r="AF48" s="26"/>
      <c r="AG48" s="26"/>
      <c r="AH48" s="26"/>
      <c r="AI48" s="26"/>
      <c r="AJ48" s="26"/>
      <c r="AK48" s="26"/>
      <c r="AL48" s="25"/>
    </row>
    <row r="49" spans="1:38" ht="20.100000000000001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45"/>
      <c r="AD49" s="45"/>
      <c r="AE49" s="45"/>
      <c r="AF49" s="26"/>
      <c r="AG49" s="26"/>
      <c r="AH49" s="26"/>
      <c r="AI49" s="26"/>
      <c r="AJ49" s="26"/>
      <c r="AK49" s="26"/>
      <c r="AL49" s="25"/>
    </row>
    <row r="50" spans="1:38" ht="20.100000000000001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5"/>
    </row>
    <row r="51" spans="1:38" ht="20.100000000000001" customHeight="1" x14ac:dyDescent="0.3">
      <c r="A51" s="25"/>
      <c r="B51" s="26"/>
      <c r="C51" s="28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5"/>
    </row>
    <row r="52" spans="1:38" ht="20.100000000000001" customHeight="1" x14ac:dyDescent="0.3">
      <c r="A52" s="25"/>
      <c r="B52" s="26"/>
      <c r="C52" s="28" t="s">
        <v>40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9"/>
      <c r="X52" s="29"/>
      <c r="Y52" s="29"/>
      <c r="Z52" s="29"/>
      <c r="AA52" s="29"/>
      <c r="AB52" s="29"/>
      <c r="AC52" s="26"/>
      <c r="AD52" s="39"/>
      <c r="AE52" s="29" t="s">
        <v>68</v>
      </c>
      <c r="AF52" s="26"/>
      <c r="AG52" s="26"/>
      <c r="AH52" s="26"/>
      <c r="AI52" s="26"/>
      <c r="AJ52" s="26"/>
      <c r="AK52" s="26"/>
      <c r="AL52" s="25"/>
    </row>
  </sheetData>
  <mergeCells count="17">
    <mergeCell ref="A1:AM1"/>
    <mergeCell ref="A2:AM2"/>
    <mergeCell ref="A8:A9"/>
    <mergeCell ref="B8:B9"/>
    <mergeCell ref="C8:V8"/>
    <mergeCell ref="X8:AB8"/>
    <mergeCell ref="AD8:AH8"/>
    <mergeCell ref="AK8:AK9"/>
    <mergeCell ref="AL8:AM8"/>
    <mergeCell ref="AL43:AL44"/>
    <mergeCell ref="AM43:AM44"/>
    <mergeCell ref="AO13:AO14"/>
    <mergeCell ref="W43:W44"/>
    <mergeCell ref="AC43:AC44"/>
    <mergeCell ref="AI43:AI44"/>
    <mergeCell ref="AJ43:AJ44"/>
    <mergeCell ref="AK43:AK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1A</vt:lpstr>
      <vt:lpstr>1B</vt:lpstr>
      <vt:lpstr>1C</vt:lpstr>
      <vt:lpstr>2A</vt:lpstr>
      <vt:lpstr>2B</vt:lpstr>
      <vt:lpstr>2C</vt:lpstr>
      <vt:lpstr>3A</vt:lpstr>
      <vt:lpstr>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SDIT AL FIKRI</cp:lastModifiedBy>
  <cp:lastPrinted>2024-12-02T14:37:42Z</cp:lastPrinted>
  <dcterms:created xsi:type="dcterms:W3CDTF">2024-12-02T07:52:37Z</dcterms:created>
  <dcterms:modified xsi:type="dcterms:W3CDTF">2025-10-11T04:22:02Z</dcterms:modified>
</cp:coreProperties>
</file>